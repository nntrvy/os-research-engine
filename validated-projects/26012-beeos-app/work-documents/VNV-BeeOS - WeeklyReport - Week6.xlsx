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821" documentId="11_E3635A91D89360E2088FC70966A6DD3BA462BE81" xr6:coauthVersionLast="47" xr6:coauthVersionMax="47" xr10:uidLastSave="{5DFD54F5-5B26-4BF0-B172-A659686414E0}"/>
  <bookViews>
    <workbookView xWindow="-110" yWindow="-110" windowWidth="19420" windowHeight="11500" xr2:uid="{00000000-000D-0000-FFFF-FFFF00000000}"/>
  </bookViews>
  <sheets>
    <sheet name="W5-19.Dec"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0" l="1"/>
  <c r="D20" i="20" s="1"/>
  <c r="E18" i="20"/>
  <c r="C18" i="20"/>
  <c r="D21" i="20" l="1"/>
  <c r="E20" i="20"/>
  <c r="C20" i="20"/>
  <c r="C19" i="20"/>
  <c r="E19" i="20"/>
  <c r="D22" i="20" l="1"/>
  <c r="E21" i="20"/>
  <c r="C21" i="20"/>
  <c r="E22" i="20" l="1"/>
  <c r="C22" i="20"/>
  <c r="D23" i="20"/>
  <c r="D24" i="20" l="1"/>
  <c r="E23" i="20"/>
  <c r="C23" i="20"/>
  <c r="D25" i="20" l="1"/>
  <c r="E24" i="20"/>
  <c r="C24" i="20"/>
  <c r="D26" i="20" l="1"/>
  <c r="E25" i="20"/>
  <c r="C25" i="20"/>
  <c r="E26" i="20" l="1"/>
  <c r="C26" i="20"/>
  <c r="D27" i="20"/>
  <c r="D28" i="20" l="1"/>
  <c r="C27" i="20"/>
  <c r="E27" i="20"/>
  <c r="D29" i="20" l="1"/>
  <c r="E28" i="20"/>
  <c r="C28" i="20"/>
  <c r="D30" i="20" l="1"/>
  <c r="C29" i="20"/>
  <c r="E29" i="20"/>
  <c r="E30" i="20" l="1"/>
  <c r="C30" i="20"/>
</calcChain>
</file>

<file path=xl/sharedStrings.xml><?xml version="1.0" encoding="utf-8"?>
<sst xmlns="http://schemas.openxmlformats.org/spreadsheetml/2006/main" count="54" uniqueCount="43">
  <si>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</si>
  <si>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</si>
  <si>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</si>
  <si>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</si>
  <si>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</si>
  <si>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</si>
  <si>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</si>
  <si>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</si>
  <si>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</si>
  <si>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</si>
  <si>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</si>
  <si>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</si>
  <si>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</si>
  <si>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</si>
  <si>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</si>
  <si>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Những trở ngại cần hỗ trợ</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</si>
  <si>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</si>
  <si>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</si>
  <si>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</si>
  <si>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</si>
  <si>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</si>
  <si>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</si>
  <si>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</si>
  <si>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</si>
  <si>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</si>
  <si>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</si>
  <si>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</si>
  <si>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</si>
  <si>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 Danh sách công việc và trạng thái
- Báo cáo tuần
&gt;&gt;&gt; Link tham khảo:  https://1drv.ms/f/c/e54d77a9688661eb/Eh-k0gWYkp9IoZHzEl4lt8gBjHtoEvToZOHHz7i9BkCHWQ?e=6ZjilW</t>
  </si>
  <si>
    <t>Other Note</t>
  </si>
  <si>
    <t>Data Migration</t>
  </si>
  <si>
    <t>Thử nghiệm</t>
  </si>
  <si>
    <t>Sử dụng thực tế</t>
  </si>
  <si>
    <t>BeeOS - Báo cáo - Tuần 6</t>
  </si>
  <si>
    <t>15.12.2025</t>
  </si>
  <si>
    <t>19.12.2025</t>
  </si>
  <si>
    <t>27% (+6)</t>
  </si>
  <si>
    <r>
      <t xml:space="preserve">Cần chuẩn hóa dữ liệu để hệ thống ghi nhận dữ liệu đúng. 
</t>
    </r>
    <r>
      <rPr>
        <i/>
        <u/>
        <sz val="8"/>
        <color theme="1"/>
        <rFont val="Arial"/>
        <family val="2"/>
      </rPr>
      <t>Chú ý:</t>
    </r>
    <r>
      <rPr>
        <sz val="8"/>
        <color theme="1"/>
        <rFont val="Arial"/>
        <family val="2"/>
      </rPr>
      <t xml:space="preserve"> Dữ liệu này cũng được xem như dữ liệu thật sẽ được dùng cho production sau này. </t>
    </r>
  </si>
  <si>
    <t>Những điểm nổi bật:
- Chỉ tăng thêm 6% so với tuần trước, 1 số nguyên nhân chính:
  + Chuẩn hóa các components dùng chung làm chậm việc hoành thành các tinh năng trong phần "quản lý chung".
  + Tiếp nhận nhiều phản hồi từ BeeOS cần điều chỉnh vào ngày 17.12 đã ảnh hưởng đến phần việc đang lập trình của luồng cấp đơn và bồi thường.
  + 1 số dữ liệu liên quan đến data migration chưa được chuẩn hóa khiến việc nạp dữ liệu năm 2025 chưa hoàn thành.</t>
  </si>
  <si>
    <t xml:space="preserve">1. Chuẩn hóa dữ liệu cũ để import vào hệ thống: 
&gt;&gt;&gt; Tiếp tục phối hợp với BeeVN chuẩn hóa dữ liệu cũ cần di dời để hệ thống có được những dữ liệu (bao gồm dữ liệu lưu trong database, dữ liệu file/folder) </t>
  </si>
  <si>
    <r>
      <t>Rủi ro #1: Di dời dữ liệu cũ (data migration): Có thể sẽ mất nhiều thời gian chuẩn hóa dữ liệu đáp ứng di dời được hết toàn bộ dữ liệu cũ.
  + (</t>
    </r>
    <r>
      <rPr>
        <sz val="8"/>
        <color rgb="FF0432FF"/>
        <rFont val="Arial"/>
        <family val="2"/>
      </rPr>
      <t>Đang tiến hành</t>
    </r>
    <r>
      <rPr>
        <sz val="8"/>
        <color theme="1"/>
        <rFont val="Arial"/>
        <family val="2"/>
      </rPr>
      <t>) Import dữ liệu năm 2025.
  + (</t>
    </r>
    <r>
      <rPr>
        <sz val="8"/>
        <color rgb="FF0432FF"/>
        <rFont val="Arial"/>
        <family val="2"/>
      </rPr>
      <t>Đang phân tích</t>
    </r>
    <r>
      <rPr>
        <sz val="8"/>
        <color theme="1"/>
        <rFont val="Arial"/>
        <family val="2"/>
      </rPr>
      <t>) Import dữ liệu những năm trước (như 2024, 2023, 2022)</t>
    </r>
  </si>
  <si>
    <t>1. Team vẫn đang tiến hành lập trình luồng cấp đơn. Tuy nhiên, việc nhận nhiều phản hồi (khoảng 24 phản hồi vào ngày 17.12) đã phần nào làm chậm việc lập trình và team dành thời gian thảo luận, đánh giá mức độ ảnh hưởng và sửa đổi. 
  + % hoành thành của luồng cấp đơn bị điều chỉnh giảm xuống để phản ảnh đúng thực tế cộng với phần việc mới cần đáp ứng.
2. Team bắt đầu lập trình luồng bồi thường với khoảng 30% completion.
3. Team đã chủ động chuẩn hóa các components dùng chung, điều này sẽ giúp ích rất nhiều cho các tính năng trong phần quản lý chung (như: Quản lý KH, quản lý công ty BH, loại hình BH, ĐK bổ xung, Phạm vi BH, Khấu trừ, Cty BH, Nhóm tổn thất, Quản lý tài khoản). Tuy hiện tại chưa có tiến triển nhiều, nhưng qua tuần sau sẽ có những tiến triển rõ rệt.
4. Di dời dữ liệu cũ --&gt; Đang tiến hành cho dữ liệu năm 2025, vẫn còn 1 số dữ liệu chưa được chuẩn hóa cần phối hợp với BeeVN để được hỗ trợ và đề xuất hướng giải quyết.</t>
  </si>
  <si>
    <r>
      <rPr>
        <b/>
        <sz val="8"/>
        <color theme="1"/>
        <rFont val="Arial"/>
        <family val="2"/>
      </rPr>
      <t>Team đặt mục tiêu:</t>
    </r>
    <r>
      <rPr>
        <sz val="8"/>
        <color theme="1"/>
        <rFont val="Arial"/>
        <family val="2"/>
      </rPr>
      <t xml:space="preserve"> 
1. Hoành thành các tính năng trong mục quản lý chung (Quản lý KH, quản lý công ty BH, loại hình BH, ĐK bổ xung, Phạm vi BH, Khấu trừ, Cty BH, Nhóm tổn thất, Quản lý tài khoản) sớm chuyển cho bộ phận QC tiến hành kiểm thử.
2. Tiếp tục lập trình luồng cấp đơn và bồi thường và hỗ trợ đến 70% feeeback ngày 17.12 của BeeVN.
3. Import thành công dữ liệu cũ của 2025 (và sẽ tiếp tục phân tích dữ liệu những năm còn lại: 2022, 2023, 2024)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</si>
</sst>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sz val="8"/>
      <color rgb="FF0432FF"/>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F36"/>
  <sheetViews>
    <sheetView tabSelected="1" topLeftCell="A12" zoomScale="160" zoomScaleNormal="160" workbookViewId="0">
      <selection activeCell="C13" sqref="C13:F13"/>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6" ht="18" x14ac:dyDescent="0.4">
      <c r="B1" s="2" t="s">
        <v>33</v>
      </c>
      <c r="C1" s="4"/>
      <c r="D1" s="5"/>
    </row>
    <row r="2" spans="2:6" x14ac:dyDescent="0.2">
      <c r="B2" s="6"/>
      <c r="C2" s="7"/>
      <c r="D2" s="7"/>
    </row>
    <row r="3" spans="2:6" ht="10.5" x14ac:dyDescent="0.2">
      <c r="B3" s="8" t="s">
        <v>0</v>
      </c>
      <c r="C3" s="21" t="s">
        <v>34</v>
      </c>
      <c r="D3" s="9" t="s">
        <v>35</v>
      </c>
      <c r="E3" s="10"/>
    </row>
    <row r="4" spans="2:6" ht="10.5" x14ac:dyDescent="0.2">
      <c r="B4" s="8" t="s">
        <v>1</v>
      </c>
      <c r="C4" s="11" t="s">
        <v>2</v>
      </c>
      <c r="D4" s="10"/>
      <c r="E4" s="10"/>
    </row>
    <row r="5" spans="2:6" ht="10.5" x14ac:dyDescent="0.2">
      <c r="B5" s="8" t="s">
        <v>3</v>
      </c>
      <c r="C5" s="9" t="s">
        <v>4</v>
      </c>
      <c r="D5" s="15" t="s">
        <v>5</v>
      </c>
      <c r="E5" s="10"/>
    </row>
    <row r="6" spans="2:6" ht="10.5" x14ac:dyDescent="0.2">
      <c r="B6" s="8" t="s">
        <v>6</v>
      </c>
      <c r="C6" s="11" t="s">
        <v>7</v>
      </c>
      <c r="D6" s="8" t="s">
        <v>8</v>
      </c>
      <c r="E6" s="11" t="s">
        <v>9</v>
      </c>
    </row>
    <row r="7" spans="2:6" x14ac:dyDescent="0.2">
      <c r="B7" s="10"/>
      <c r="C7" s="10"/>
      <c r="D7" s="10"/>
      <c r="E7" s="10"/>
    </row>
    <row r="8" spans="2:6" ht="10.5" x14ac:dyDescent="0.2">
      <c r="B8" s="8" t="s">
        <v>10</v>
      </c>
      <c r="C8" s="8"/>
      <c r="D8" s="8"/>
      <c r="E8" s="8"/>
      <c r="F8" s="8"/>
    </row>
    <row r="9" spans="2:6" ht="99" customHeight="1" x14ac:dyDescent="0.2">
      <c r="B9" s="16" t="s">
        <v>11</v>
      </c>
      <c r="C9" s="17" t="s">
        <v>36</v>
      </c>
      <c r="D9" s="23" t="s">
        <v>38</v>
      </c>
      <c r="E9" s="24"/>
      <c r="F9" s="24"/>
    </row>
    <row r="10" spans="2:6" x14ac:dyDescent="0.2">
      <c r="B10" s="11"/>
      <c r="C10" s="11"/>
      <c r="D10" s="10"/>
      <c r="E10" s="10"/>
      <c r="F10" s="10"/>
    </row>
    <row r="11" spans="2:6" ht="10.5" x14ac:dyDescent="0.2">
      <c r="B11" s="8" t="s">
        <v>12</v>
      </c>
      <c r="C11" s="8"/>
      <c r="D11" s="8"/>
      <c r="E11" s="8"/>
      <c r="F11" s="8"/>
    </row>
    <row r="12" spans="2:6" ht="162.5" customHeight="1" x14ac:dyDescent="0.2">
      <c r="B12" s="11" t="s">
        <v>13</v>
      </c>
      <c r="C12" s="25" t="s">
        <v>41</v>
      </c>
      <c r="D12" s="26"/>
      <c r="E12" s="26"/>
      <c r="F12" s="27"/>
    </row>
    <row r="13" spans="2:6" ht="106" customHeight="1" x14ac:dyDescent="0.2">
      <c r="B13" s="11" t="s">
        <v>14</v>
      </c>
      <c r="C13" s="25" t="s">
        <v>42</v>
      </c>
      <c r="D13" s="26"/>
      <c r="E13" s="26"/>
      <c r="F13" s="27"/>
    </row>
    <row r="14" spans="2:6" ht="46" customHeight="1" x14ac:dyDescent="0.2">
      <c r="B14" s="3" t="s">
        <v>15</v>
      </c>
      <c r="C14" s="25" t="s">
        <v>39</v>
      </c>
      <c r="D14" s="26"/>
      <c r="E14" s="26"/>
      <c r="F14" s="27"/>
    </row>
    <row r="15" spans="2:6" ht="57.5" customHeight="1" x14ac:dyDescent="0.2">
      <c r="B15" s="3" t="s">
        <v>16</v>
      </c>
      <c r="C15" s="25" t="s">
        <v>40</v>
      </c>
      <c r="D15" s="26"/>
      <c r="E15" s="26"/>
      <c r="F15" s="27"/>
    </row>
    <row r="16" spans="2:6" x14ac:dyDescent="0.2">
      <c r="B16" s="10"/>
      <c r="C16" s="10"/>
      <c r="D16" s="10"/>
      <c r="E16" s="10"/>
    </row>
    <row r="17" spans="2:6" ht="10.5" x14ac:dyDescent="0.2">
      <c r="B17" s="8" t="s">
        <v>17</v>
      </c>
      <c r="C17" s="8" t="s">
        <v>0</v>
      </c>
      <c r="D17" s="8" t="s">
        <v>18</v>
      </c>
      <c r="E17" s="8" t="s">
        <v>19</v>
      </c>
      <c r="F17" s="8" t="s">
        <v>20</v>
      </c>
    </row>
    <row r="18" spans="2:6" x14ac:dyDescent="0.2">
      <c r="B18" s="12" t="s">
        <v>21</v>
      </c>
      <c r="C18" s="12" t="str">
        <f>YEAR(D18)&amp;"-"&amp;"W"&amp;TEXT(WEEKNUM(D18,21),"0#")</f>
        <v>2025-W46</v>
      </c>
      <c r="D18" s="13">
        <v>45971</v>
      </c>
      <c r="E18" s="13">
        <f xml:space="preserve"> D18+(6-WEEKDAY(D18,3))</f>
        <v>45977</v>
      </c>
      <c r="F18" s="19" t="s">
        <v>22</v>
      </c>
    </row>
    <row r="19" spans="2:6" x14ac:dyDescent="0.2">
      <c r="B19" s="12"/>
      <c r="C19" s="12" t="str">
        <f>YEAR(D19)&amp;"-"&amp;"W"&amp;TEXT(WEEKNUM(D19,21),"0#")</f>
        <v>2025-W47</v>
      </c>
      <c r="D19" s="13">
        <f>D18+( 7-WEEKDAY(D18,3))</f>
        <v>45978</v>
      </c>
      <c r="E19" s="13">
        <f xml:space="preserve"> D19+(6-WEEKDAY(D19,3))</f>
        <v>45984</v>
      </c>
      <c r="F19" s="19" t="s">
        <v>22</v>
      </c>
    </row>
    <row r="20" spans="2:6" x14ac:dyDescent="0.2">
      <c r="B20" s="12" t="s">
        <v>23</v>
      </c>
      <c r="C20" s="12" t="str">
        <f t="shared" ref="C20:C30" si="0">YEAR(D20)&amp;"-"&amp;"W"&amp;TEXT(WEEKNUM(D20,21),"0#")</f>
        <v>2025-W48</v>
      </c>
      <c r="D20" s="13">
        <f t="shared" ref="D20:D30" si="1">D19+( 7-WEEKDAY(D19,3))</f>
        <v>45985</v>
      </c>
      <c r="E20" s="13">
        <f t="shared" ref="E20:E30" si="2" xml:space="preserve"> D20+(6-WEEKDAY(D20,3))</f>
        <v>45991</v>
      </c>
      <c r="F20" s="19" t="s">
        <v>22</v>
      </c>
    </row>
    <row r="21" spans="2:6" x14ac:dyDescent="0.2">
      <c r="B21" s="12"/>
      <c r="C21" s="12" t="str">
        <f t="shared" si="0"/>
        <v>2025-W49</v>
      </c>
      <c r="D21" s="13">
        <f t="shared" si="1"/>
        <v>45992</v>
      </c>
      <c r="E21" s="13">
        <f t="shared" si="2"/>
        <v>45998</v>
      </c>
      <c r="F21" s="19" t="s">
        <v>22</v>
      </c>
    </row>
    <row r="22" spans="2:6" x14ac:dyDescent="0.2">
      <c r="B22" s="12"/>
      <c r="C22" s="12" t="str">
        <f t="shared" si="0"/>
        <v>2025-W50</v>
      </c>
      <c r="D22" s="13">
        <f t="shared" si="1"/>
        <v>45999</v>
      </c>
      <c r="E22" s="13">
        <f t="shared" si="2"/>
        <v>46005</v>
      </c>
      <c r="F22" s="19" t="s">
        <v>22</v>
      </c>
    </row>
    <row r="23" spans="2:6" x14ac:dyDescent="0.2">
      <c r="B23" s="12"/>
      <c r="C23" s="12" t="str">
        <f t="shared" si="0"/>
        <v>2025-W51</v>
      </c>
      <c r="D23" s="13">
        <f t="shared" si="1"/>
        <v>46006</v>
      </c>
      <c r="E23" s="13">
        <f t="shared" si="2"/>
        <v>46012</v>
      </c>
      <c r="F23" s="18" t="s">
        <v>24</v>
      </c>
    </row>
    <row r="24" spans="2:6" x14ac:dyDescent="0.2">
      <c r="B24" s="12"/>
      <c r="C24" s="12" t="str">
        <f t="shared" si="0"/>
        <v>2025-W52</v>
      </c>
      <c r="D24" s="13">
        <f t="shared" si="1"/>
        <v>46013</v>
      </c>
      <c r="E24" s="13">
        <f t="shared" si="2"/>
        <v>46019</v>
      </c>
      <c r="F24" s="20" t="s">
        <v>25</v>
      </c>
    </row>
    <row r="25" spans="2:6" x14ac:dyDescent="0.2">
      <c r="B25" s="12"/>
      <c r="C25" s="12" t="str">
        <f t="shared" si="0"/>
        <v>2025-W01</v>
      </c>
      <c r="D25" s="13">
        <f t="shared" si="1"/>
        <v>46020</v>
      </c>
      <c r="E25" s="13">
        <f t="shared" si="2"/>
        <v>46026</v>
      </c>
      <c r="F25" s="14" t="s">
        <v>25</v>
      </c>
    </row>
    <row r="26" spans="2:6" x14ac:dyDescent="0.2">
      <c r="B26" s="12"/>
      <c r="C26" s="12" t="str">
        <f t="shared" si="0"/>
        <v>2026-W02</v>
      </c>
      <c r="D26" s="13">
        <f t="shared" si="1"/>
        <v>46027</v>
      </c>
      <c r="E26" s="13">
        <f t="shared" si="2"/>
        <v>46033</v>
      </c>
      <c r="F26" s="14" t="s">
        <v>25</v>
      </c>
    </row>
    <row r="27" spans="2:6" x14ac:dyDescent="0.2">
      <c r="B27" s="12"/>
      <c r="C27" s="12" t="str">
        <f t="shared" si="0"/>
        <v>2026-W03</v>
      </c>
      <c r="D27" s="13">
        <f t="shared" si="1"/>
        <v>46034</v>
      </c>
      <c r="E27" s="13">
        <f t="shared" si="2"/>
        <v>46040</v>
      </c>
      <c r="F27" s="14" t="s">
        <v>25</v>
      </c>
    </row>
    <row r="28" spans="2:6" x14ac:dyDescent="0.2">
      <c r="B28" s="12"/>
      <c r="C28" s="12" t="str">
        <f t="shared" si="0"/>
        <v>2026-W04</v>
      </c>
      <c r="D28" s="13">
        <f t="shared" si="1"/>
        <v>46041</v>
      </c>
      <c r="E28" s="13">
        <f t="shared" si="2"/>
        <v>46047</v>
      </c>
      <c r="F28" s="14" t="s">
        <v>25</v>
      </c>
    </row>
    <row r="29" spans="2:6" x14ac:dyDescent="0.2">
      <c r="B29" s="12" t="s">
        <v>31</v>
      </c>
      <c r="C29" s="12" t="str">
        <f t="shared" si="0"/>
        <v>2026-W05</v>
      </c>
      <c r="D29" s="13">
        <f t="shared" si="1"/>
        <v>46048</v>
      </c>
      <c r="E29" s="13">
        <f t="shared" si="2"/>
        <v>46054</v>
      </c>
      <c r="F29" s="14" t="s">
        <v>25</v>
      </c>
    </row>
    <row r="30" spans="2:6" x14ac:dyDescent="0.2">
      <c r="B30" s="12" t="s">
        <v>32</v>
      </c>
      <c r="C30" s="12" t="str">
        <f t="shared" si="0"/>
        <v>2026-W06</v>
      </c>
      <c r="D30" s="13">
        <f t="shared" si="1"/>
        <v>46055</v>
      </c>
      <c r="E30" s="13">
        <f t="shared" si="2"/>
        <v>46061</v>
      </c>
      <c r="F30" s="14" t="s">
        <v>25</v>
      </c>
    </row>
    <row r="32" spans="2:6" ht="10.5" x14ac:dyDescent="0.2">
      <c r="B32" s="8" t="s">
        <v>26</v>
      </c>
      <c r="C32" s="8"/>
      <c r="D32" s="8"/>
      <c r="E32" s="8"/>
      <c r="F32" s="8"/>
    </row>
    <row r="33" spans="2:6" ht="55" customHeight="1" x14ac:dyDescent="0.2">
      <c r="B33" s="3" t="s">
        <v>27</v>
      </c>
      <c r="C33" s="22" t="s">
        <v>28</v>
      </c>
      <c r="D33" s="22"/>
      <c r="E33" s="22"/>
      <c r="F33" s="22"/>
    </row>
    <row r="35" spans="2:6" ht="10.5" x14ac:dyDescent="0.2">
      <c r="B35" s="8" t="s">
        <v>29</v>
      </c>
      <c r="C35" s="8"/>
      <c r="D35" s="8"/>
      <c r="E35" s="8"/>
      <c r="F35" s="8"/>
    </row>
    <row r="36" spans="2:6" ht="38.5" customHeight="1" x14ac:dyDescent="0.2">
      <c r="B36" s="3" t="s">
        <v>30</v>
      </c>
      <c r="C36" s="22" t="s">
        <v>37</v>
      </c>
      <c r="D36" s="22"/>
      <c r="E36" s="22"/>
      <c r="F36" s="22"/>
    </row>
  </sheetData>
  <mergeCells count="7">
    <mergeCell ref="C36:F36"/>
    <mergeCell ref="D9:F9"/>
    <mergeCell ref="C12:F12"/>
    <mergeCell ref="C13:F13"/>
    <mergeCell ref="C14:F14"/>
    <mergeCell ref="C15:F15"/>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W5-19.Dec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2025-12-20T10:21:15Z</dcterms:modified>
  <cp:category/>
  <cp:contentStatus/>
</cp:coreProperties>
</file>