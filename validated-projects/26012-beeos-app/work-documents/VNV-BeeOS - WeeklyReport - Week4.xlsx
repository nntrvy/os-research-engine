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e54d77a9688661eb/VNV-Project/BEEOS/SharedDocument/Weekly-Report/"/>
    </mc:Choice>
  </mc:AlternateContent>
  <xr:revisionPtr revIDLastSave="15722" documentId="11_E3635A91D89360E2088FC70966A6DD3BA462BE81" xr6:coauthVersionLast="47" xr6:coauthVersionMax="47" xr10:uidLastSave="{056AA653-1663-446B-8D79-4EA0C78F885D}"/>
  <bookViews>
    <workbookView xWindow="-110" yWindow="-110" windowWidth="19420" windowHeight="11500" xr2:uid="{00000000-000D-0000-FFFF-FFFF00000000}"/>
  </bookViews>
  <sheets>
    <sheet name="W4-05.Dec" sheetId="2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20" l="1"/>
  <c r="D20" i="20" s="1"/>
  <c r="E18" i="20"/>
  <c r="C18" i="20"/>
  <c r="D21" i="20" l="1"/>
  <c r="E20" i="20"/>
  <c r="C20" i="20"/>
  <c r="C19" i="20"/>
  <c r="E19" i="20"/>
  <c r="D22" i="20" l="1"/>
  <c r="E21" i="20"/>
  <c r="C21" i="20"/>
  <c r="E22" i="20" l="1"/>
  <c r="C22" i="20"/>
  <c r="D23" i="20"/>
  <c r="D24" i="20" l="1"/>
  <c r="E23" i="20"/>
  <c r="C23" i="20"/>
  <c r="D25" i="20" l="1"/>
  <c r="E24" i="20"/>
  <c r="C24" i="20"/>
  <c r="D26" i="20" l="1"/>
  <c r="E25" i="20"/>
  <c r="C25" i="20"/>
  <c r="E26" i="20" l="1"/>
  <c r="C26" i="20"/>
  <c r="D27" i="20"/>
  <c r="D28" i="20" l="1"/>
  <c r="C27" i="20"/>
  <c r="E27" i="20"/>
  <c r="D29" i="20" l="1"/>
  <c r="E28" i="20"/>
  <c r="C28" i="20"/>
  <c r="D30" i="20" l="1"/>
  <c r="C29" i="20"/>
  <c r="E29" i="20"/>
  <c r="E30" i="20" l="1"/>
  <c r="C30" i="20"/>
</calcChain>
</file>

<file path=xl/sharedStrings.xml><?xml version="1.0" encoding="utf-8"?>
<sst xmlns="http://schemas.openxmlformats.org/spreadsheetml/2006/main" count="54" uniqueCount="43">
  <si>
    <t>BeeOS - Báo cáo - Tuần 4</t>
  </si>
  <si>
    <t>Tuần</t>
  </si>
  <si>
    <t>01.12.2025</t>
  </si>
  <si>
    <t>05.12.2025</t>
  </si>
  <si>
    <t>Tên dự án</t>
  </si>
  <si>
    <t>BeeOS</t>
  </si>
  <si>
    <t>Thời gian thực hiện</t>
  </si>
  <si>
    <t>10.11.2025</t>
  </si>
  <si>
    <t>12.02.2026</t>
  </si>
  <si>
    <t>Trưởng dự án</t>
  </si>
  <si>
    <t>Tony (Vinova)</t>
  </si>
  <si>
    <t>Quản lý khách hàng</t>
  </si>
  <si>
    <t>Audrey (Vinova)</t>
  </si>
  <si>
    <t>Thông tin chung</t>
  </si>
  <si>
    <t>% hoàn thành</t>
  </si>
  <si>
    <t>Tóm lược</t>
  </si>
  <si>
    <t>Công việc trong tuần</t>
  </si>
  <si>
    <t>Dự tính tuần tiếp theo</t>
  </si>
  <si>
    <t>Những trở ngại cần hỗ trợ</t>
  </si>
  <si>
    <t>Quản lý Rủi ro</t>
  </si>
  <si>
    <t>Các mốc quan trọng</t>
  </si>
  <si>
    <t>Từ ngày</t>
  </si>
  <si>
    <t>Đến ngày</t>
  </si>
  <si>
    <t>Trạng thái</t>
  </si>
  <si>
    <t>Requirement + Design</t>
  </si>
  <si>
    <t>Đã qua</t>
  </si>
  <si>
    <t>Development</t>
  </si>
  <si>
    <t>Đang tiến hành</t>
  </si>
  <si>
    <t>Chờ đến lượt</t>
  </si>
  <si>
    <t>Thử nghiệp</t>
  </si>
  <si>
    <t>Sử dụng thức tế</t>
  </si>
  <si>
    <t>Links tham khảo thêm</t>
  </si>
  <si>
    <t>Tài liệu chia sẻ</t>
  </si>
  <si>
    <t>- Danh sách công việc và trạng thái
- Báo cáo tuần
&gt;&gt;&gt; Link tham khảo:  https://1drv.ms/f/c/e54d77a9688661eb/Eh-k0gWYkp9IoZHzEl4lt8gBjHtoEvToZOHHz7i9BkCHWQ?e=6ZjilW</t>
  </si>
  <si>
    <t xml:space="preserve">Những điểm nổi bật:
- Tiếp tục làm rõ 1 số yêu cầu nghiệp vụ, cập nhật phần thiết kết cho những phản hồi từ BeeVN  
- Tiếp tục lập trình luồng cấp đơn và những tính năng phụ thuộc khác có liên quan.
</t>
  </si>
  <si>
    <r>
      <t>Rủi ro #1: Di dời dữ liệu cũ (data migration): Có thể sẽ mất nhiều thời gian nghiên cứu và không đáp ứng di dời được hết toàn bộ dữ liệu cũ.
  + (Xong) BeeVN đã cung cấp file excels (tổng hợp theo dõi cấp đơn (mock), theo dõi trạng thái bồi thường (mock)) và files/folders để team tham khảo.
&gt;&gt;&gt; (</t>
    </r>
    <r>
      <rPr>
        <sz val="8"/>
        <color rgb="FF0000FF"/>
        <rFont val="Arial"/>
        <family val="2"/>
      </rPr>
      <t>Đang lên kế khoạch</t>
    </r>
    <r>
      <rPr>
        <sz val="8"/>
        <color theme="1"/>
        <rFont val="Arial"/>
        <family val="2"/>
      </rPr>
      <t>) Import 1 số dữ liệu cơ bản Cấp đơn vào database (Hạn định: 05.12.2025)
&gt;&gt;&gt; (</t>
    </r>
    <r>
      <rPr>
        <sz val="8"/>
        <color rgb="FF0000FF"/>
        <rFont val="Arial"/>
        <family val="2"/>
      </rPr>
      <t>Đang theo dõi</t>
    </r>
    <r>
      <rPr>
        <sz val="8"/>
        <color theme="1"/>
        <rFont val="Arial"/>
        <family val="2"/>
      </rPr>
      <t>) Team cần nghiên cứu đưa giải pháp và cho biết % có thể di dời qua hệ thống mới.(bao gồm di dời files/folders.
Rủi ro #2: 1 số yêu cầu mới vẫn có thể phát sinh trong quá trình làm rõ yêu cầu và giai đoạn lập trình dấn đến ảnh hưởng đến tiến độ dự án.
&gt;&gt;&gt; (</t>
    </r>
    <r>
      <rPr>
        <sz val="8"/>
        <color rgb="FF0000FF"/>
        <rFont val="Arial"/>
        <family val="2"/>
      </rPr>
      <t>Đang theo dõi</t>
    </r>
    <r>
      <rPr>
        <sz val="8"/>
        <color theme="1"/>
        <rFont val="Arial"/>
        <family val="2"/>
      </rPr>
      <t>) Mong đợi đến 12.12.2025 (</t>
    </r>
    <r>
      <rPr>
        <i/>
        <sz val="8"/>
        <color theme="1"/>
        <rFont val="Arial"/>
        <family val="2"/>
      </rPr>
      <t>hạn định cũ 05.12.2025</t>
    </r>
    <r>
      <rPr>
        <sz val="8"/>
        <color theme="1"/>
        <rFont val="Arial"/>
        <family val="2"/>
      </rPr>
      <t xml:space="preserve">) sẽ xong danh sách tính năng và design của toàn bộ dự án. </t>
    </r>
  </si>
  <si>
    <r>
      <t>1. Tiếp tục thảo luận và thống nhất thiết kế giao diện (design) của toàn bộ các tính năng của dự án càng sớm càng tốt. 
  &gt;&gt;&gt; Dự định hoàn tất trong tuần sau (Hạn định: 12.12.2025 (</t>
    </r>
    <r>
      <rPr>
        <i/>
        <sz val="8"/>
        <color theme="1"/>
        <rFont val="Arial"/>
        <family val="2"/>
      </rPr>
      <t>Hạn định cũ: 05.12.2025)</t>
    </r>
    <r>
      <rPr>
        <sz val="8"/>
        <color theme="1"/>
        <rFont val="Arial"/>
        <family val="2"/>
      </rPr>
      <t>) -&gt; VNV+BeeOS cùng phối hợp
2. Team tiếp tục nghiên cứu hồ sơ dữ liệu những năm cũ chuẩn bị cho việc di dời dữ liệu cũ qua hệ thống mới (dữ liệu lưu trong database, dữ liệu file/folder)
  &gt;&gt;&gt; Dự kiến import 1 số dữ liệu cơ bản Cấp đơn vào database (Hạn định: 12.12.2025 (</t>
    </r>
    <r>
      <rPr>
        <i/>
        <sz val="8"/>
        <color theme="1"/>
        <rFont val="Arial"/>
        <family val="2"/>
      </rPr>
      <t>Hạn định cũ: 05.12.2025)</t>
    </r>
    <r>
      <rPr>
        <sz val="8"/>
        <color theme="1"/>
        <rFont val="Arial"/>
        <family val="2"/>
      </rPr>
      <t xml:space="preserve">) </t>
    </r>
  </si>
  <si>
    <t>Other Note</t>
  </si>
  <si>
    <t>Data Migration</t>
  </si>
  <si>
    <r>
      <t>File tham khảo "</t>
    </r>
    <r>
      <rPr>
        <b/>
        <sz val="8"/>
        <color theme="1"/>
        <rFont val="Arial"/>
        <family val="2"/>
      </rPr>
      <t>tổng hợp theo dõi cấp đơn</t>
    </r>
    <r>
      <rPr>
        <sz val="8"/>
        <color theme="1"/>
        <rFont val="Arial"/>
        <family val="2"/>
      </rPr>
      <t xml:space="preserve"> - file excel"
Vấn đề đang gặp:
1. Đối tượng BH đang không theo 1 quy tắc đặt tên chuẩn (ví dụ: Phụ lục HĐ mua BHTS bổ sung cho TTTM Vincom Đông Hà - Quảng Trị ) --&gt; rất khó để dò tim và so sách.
2. Số tiền BH không theo quy chuẩn (ví dụ: Nha Trang, Đà Nẵng, Phú Quốc: 5,000,000 USD/vụ, Còn lại: 3,000,000 USD/vụ)
3. Có dữ liệu phụ lục HĐ nhưng chưa được liên kết với HĐ chính, nên rất khó xác định mối liên hệ.
4. Dữ liệu về cty BH chưa nhất quán. Nên sử dụng mã code hay nhập lại cùng tên cho đồng bộ.
5. Sẽ mất thời gian để mapping P&amp;L và đối tượng được BH để tự động thêm vào DB.
6. Cần thời gian để kiểm tra loại hình BH. Vì liên quan đến phạm vi BH, điều khoản.
7. Cần chuẩn hóa tỉ lệ phí. Đang có cả text.
8. Thời gian đang chưa đúng định dạng (ví dụ: dd/mm/yyyy) . Đang có cả text, chứa nhiều cột mốc. Cần có biện pháp xử lý.
Đề xuất:
1. BeeVN sẽ cung cấp toàn bộ dữ liệu cũ đầy đủ nhất có thể cần import (~ 300 bộ hồ sơ). (và cả files/folders có liên quan)
2. Team dự án sẽ tự định nghĩa 1 template import mới, cố gắng trích xuất data từ dữ liệu BeeVN cung cấp đưa qua template mới, chỉnh sửa lại cho hợp lý (gần đúng nhất có thể)
3. BeeVN kiểm tra lại, chỉnh sửa, xác nhận dữ liệu từ file template mới đã hợp lệ, cho phép import vào database.
</t>
    </r>
    <r>
      <rPr>
        <i/>
        <u/>
        <sz val="8"/>
        <color theme="1"/>
        <rFont val="Arial"/>
        <family val="2"/>
      </rPr>
      <t>Chú ý:</t>
    </r>
    <r>
      <rPr>
        <sz val="8"/>
        <color theme="1"/>
        <rFont val="Arial"/>
        <family val="2"/>
      </rPr>
      <t xml:space="preserve"> Dữ liệu này cũng được xem như dữ liệu thật sẽ được dùng cho production sau này. </t>
    </r>
  </si>
  <si>
    <t>14% (+8)</t>
  </si>
  <si>
    <r>
      <rPr>
        <b/>
        <sz val="8"/>
        <color theme="1"/>
        <rFont val="Arial"/>
        <family val="2"/>
      </rPr>
      <t>Phần 1: Phân tích yêu cầu (Requirement)</t>
    </r>
    <r>
      <rPr>
        <sz val="8"/>
        <color theme="1"/>
        <rFont val="Arial"/>
        <family val="2"/>
      </rPr>
      <t xml:space="preserve">
- Tiếp tục làm rõ chi tiết yêu cầu nghiệp vụ, transfer lại cho team, hỗ trợ giả đáp những yêu cầu nghiệp vụ cho những tính năng sẽ làm trong tuần.
</t>
    </r>
    <r>
      <rPr>
        <b/>
        <sz val="8"/>
        <color theme="1"/>
        <rFont val="Arial"/>
        <family val="2"/>
      </rPr>
      <t xml:space="preserve">Phần 2: Thiết kế giao diện (Design)
</t>
    </r>
    <r>
      <rPr>
        <sz val="8"/>
        <color theme="1"/>
        <rFont val="Arial"/>
        <family val="2"/>
      </rPr>
      <t xml:space="preserve">- Tiếp tục cập nhật những phản hồi từ BeeVN (nếu có).
- Thiết kế cho những tính năng bổ trợ khác: Nhắc nhở, quản lý công ty giám định.
</t>
    </r>
    <r>
      <rPr>
        <b/>
        <sz val="8"/>
        <color theme="1"/>
        <rFont val="Arial"/>
        <family val="2"/>
      </rPr>
      <t>Phần 3: Lập trình</t>
    </r>
    <r>
      <rPr>
        <sz val="8"/>
        <color theme="1"/>
        <rFont val="Arial"/>
        <family val="2"/>
      </rPr>
      <t xml:space="preserve">
- Cấp đơn: hoàn thiện luồng cấp đơn mới (4 bước) và phê duyệt cấp đơn.
- Cấp đơn: lập trình luồng cấp đơn (tái tục và phụ lục HĐ)
- Quản lý chung: Quản lý KH, quản lý công ty BH, quản lý nhóm rủi ro, công ty giám định.
- Di dời dữ liệu cũ (tiếp tục) Tiếp tục tìm hiểu và khắc phục những hạn chế, đề xuất giải pháp hợp lý.</t>
    </r>
  </si>
  <si>
    <r>
      <rPr>
        <b/>
        <sz val="8"/>
        <color theme="1"/>
        <rFont val="Arial"/>
        <family val="2"/>
      </rPr>
      <t>Phần 1: Phân tích yêu cầu (Requirement)</t>
    </r>
    <r>
      <rPr>
        <sz val="8"/>
        <color theme="1"/>
        <rFont val="Arial"/>
        <family val="2"/>
      </rPr>
      <t xml:space="preserve">
- Tiếp tục làm rõ chi tiết yêu cầu nghiệp vụ, transfer lại cho team (Để người dùng nhập % tỉ lệ phí theo phạm vi HĐ (áp dụng cho phụ lục HĐ), thông tin phụ lục HĐ nên lưu tách biệt với hợp đồng chính, làm rõ yêu cầu gửi nhắc nhở, chuẩn hóa hiển thị số tiền trên web và báo cáo, phối hợp với designer hiển thị số liệu gần giống với thực tế nhất)
</t>
    </r>
    <r>
      <rPr>
        <b/>
        <sz val="8"/>
        <color theme="1"/>
        <rFont val="Arial"/>
        <family val="2"/>
      </rPr>
      <t>Phần 2: Thiết kế giao diện (Design)</t>
    </r>
    <r>
      <rPr>
        <sz val="8"/>
        <color theme="1"/>
        <rFont val="Arial"/>
        <family val="2"/>
      </rPr>
      <t xml:space="preserve">
- Tiếp tục cập nhật những phản hồi từ BeeVN liên quan đến: Quản lý HĐ BH, danh sách bồi thường và chi tiết bồi thường, phê quyệt trên mobile &amp; desktop, dashboard cho cấp đơn, Filter cho danh sách.
- Thiết kế 1 số tính năng quản lý khác như: Quản lý KH, quản lý loại hình BH, xem lịch sử thao tác (activity log)
</t>
    </r>
    <r>
      <rPr>
        <b/>
        <sz val="8"/>
        <color theme="1"/>
        <rFont val="Arial"/>
        <family val="2"/>
      </rPr>
      <t>Phần 3: Lập trình</t>
    </r>
    <r>
      <rPr>
        <sz val="8"/>
        <color theme="1"/>
        <rFont val="Arial"/>
        <family val="2"/>
      </rPr>
      <t xml:space="preserve">
- Tiếp tục với luồng cấp đơn: Tạo hồ sơ mới (4 bước + Review), xem danh sách hợp đồng BH, xem danh sách hồ sơ BH cần phê duyệt dành cho Leader, tính năng phê duyệt cấp đơn lần 1, 2.
- Quản lý chung: Quản lý loại hình BH, quản lý ĐK bổ xung, tạo bộ ĐK bổ xung.
- Tiếp tục nghiên cứu giải pháp import 1 số dữ liệu mẫu của cấp đơn. Vẫn còn 1 số hạn chế về dữ liệu hiện tại cần xem xét tiếp (như dữ liệu về tỉ lệ HĐ, điều khoản bổ xung, files/folders, thông báo lỗi, ..)
&gt;&gt;&gt; Tham khảo link sau để biết thêm chi tiết: "https://1drv.ms/x/c/e54d77a9688661eb/EQ9Z2VQgjatOs3dkcqwRxqEBn0UTvzBuhDrdL41MsB49-w?e=jGwN1a"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</si>
</sst>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14809]d\ mmm\ yyyy;@"/>
  </numFmts>
  <fonts count="12" x14ac:knownFonts="1">
    <font>
      <sz val="11"/>
      <color theme="1"/>
      <name val="Calibri"/>
      <family val="2"/>
      <scheme val="minor"/>
    </font>
    <font>
      <sz val="8"/>
      <color theme="1"/>
      <name val="Arial"/>
      <family val="2"/>
    </font>
    <font>
      <b/>
      <sz val="8"/>
      <color theme="1"/>
      <name val="Arial"/>
      <family val="2"/>
    </font>
    <font>
      <sz val="8"/>
      <color rgb="FFFF0000"/>
      <name val="Arial"/>
      <family val="2"/>
    </font>
    <font>
      <sz val="8"/>
      <color rgb="FF000000"/>
      <name val="Arial"/>
      <family val="2"/>
    </font>
    <font>
      <sz val="8"/>
      <color rgb="FF0000FF"/>
      <name val="Arial"/>
      <family val="2"/>
    </font>
    <font>
      <b/>
      <sz val="14"/>
      <color rgb="FF000000"/>
      <name val="Arial"/>
      <family val="2"/>
    </font>
    <font>
      <b/>
      <sz val="8"/>
      <color rgb="FFFFFFFF"/>
      <name val="Arial"/>
      <family val="2"/>
    </font>
    <font>
      <sz val="8"/>
      <name val="Arial"/>
      <family val="2"/>
    </font>
    <font>
      <sz val="8"/>
      <color theme="5"/>
      <name val="Arial"/>
      <family val="2"/>
    </font>
    <font>
      <i/>
      <sz val="8"/>
      <color theme="1"/>
      <name val="Arial"/>
      <family val="2"/>
    </font>
    <font>
      <i/>
      <u/>
      <sz val="8"/>
      <color theme="1"/>
      <name val="Arial"/>
      <family val="2"/>
    </font>
  </fonts>
  <fills count="3">
    <fill>
      <patternFill patternType="none"/>
    </fill>
    <fill>
      <patternFill patternType="gray125"/>
    </fill>
    <fill>
      <patternFill patternType="solid">
        <fgColor rgb="FF335593"/>
      </patternFill>
    </fill>
  </fills>
  <borders count="5">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28">
    <xf numFmtId="0" fontId="0" fillId="0" borderId="0" xfId="0"/>
    <xf numFmtId="0" fontId="1" fillId="0" borderId="0" xfId="0" applyFont="1"/>
    <xf numFmtId="0" fontId="6" fillId="0" borderId="0" xfId="0" applyFont="1"/>
    <xf numFmtId="0" fontId="1" fillId="0" borderId="1" xfId="0" applyFont="1" applyBorder="1" applyAlignment="1">
      <alignment vertical="top" wrapText="1"/>
    </xf>
    <xf numFmtId="0" fontId="2" fillId="0" borderId="0" xfId="0" applyFont="1" applyAlignment="1">
      <alignment wrapText="1"/>
    </xf>
    <xf numFmtId="0" fontId="1" fillId="0" borderId="0" xfId="0" applyFont="1" applyAlignment="1">
      <alignment wrapText="1"/>
    </xf>
    <xf numFmtId="0" fontId="4" fillId="0" borderId="0" xfId="0" applyFont="1" applyAlignment="1">
      <alignment horizontal="left"/>
    </xf>
    <xf numFmtId="0" fontId="4" fillId="0" borderId="0" xfId="0" applyFont="1" applyAlignment="1">
      <alignment horizontal="left" wrapText="1"/>
    </xf>
    <xf numFmtId="0" fontId="7" fillId="2" borderId="1" xfId="0" applyFont="1" applyFill="1" applyBorder="1" applyAlignment="1">
      <alignment vertical="top"/>
    </xf>
    <xf numFmtId="164" fontId="1" fillId="0" borderId="1" xfId="0" applyNumberFormat="1" applyFont="1" applyBorder="1" applyAlignment="1">
      <alignment horizontal="left" vertical="top"/>
    </xf>
    <xf numFmtId="0" fontId="1" fillId="0" borderId="0" xfId="0" applyFont="1" applyAlignment="1">
      <alignment vertical="top"/>
    </xf>
    <xf numFmtId="0" fontId="1" fillId="0" borderId="1" xfId="0" applyFont="1" applyBorder="1" applyAlignment="1">
      <alignment vertical="top"/>
    </xf>
    <xf numFmtId="17"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15" fontId="8" fillId="0" borderId="1" xfId="0" applyNumberFormat="1" applyFont="1" applyBorder="1" applyAlignment="1">
      <alignment vertical="center" wrapText="1"/>
    </xf>
    <xf numFmtId="0" fontId="3" fillId="0" borderId="1" xfId="0" applyFont="1" applyBorder="1" applyAlignment="1">
      <alignment vertical="top"/>
    </xf>
    <xf numFmtId="0" fontId="1" fillId="0" borderId="1" xfId="0" quotePrefix="1" applyFont="1" applyBorder="1" applyAlignment="1">
      <alignment vertical="top"/>
    </xf>
    <xf numFmtId="9" fontId="5" fillId="0" borderId="1" xfId="0" applyNumberFormat="1" applyFont="1" applyBorder="1" applyAlignment="1">
      <alignment horizontal="left" vertical="top"/>
    </xf>
    <xf numFmtId="15" fontId="5" fillId="0" borderId="1" xfId="0" applyNumberFormat="1" applyFont="1" applyBorder="1" applyAlignment="1">
      <alignment vertical="center" wrapText="1"/>
    </xf>
    <xf numFmtId="15" fontId="1" fillId="0" borderId="1" xfId="0" applyNumberFormat="1" applyFont="1" applyBorder="1" applyAlignment="1">
      <alignment vertical="center" wrapText="1"/>
    </xf>
    <xf numFmtId="15" fontId="9" fillId="0" borderId="1" xfId="0" applyNumberFormat="1" applyFont="1" applyBorder="1" applyAlignment="1">
      <alignment vertical="center" wrapText="1"/>
    </xf>
    <xf numFmtId="0" fontId="1" fillId="0" borderId="1" xfId="0" applyFont="1" applyBorder="1" applyAlignment="1">
      <alignment horizontal="left" vertical="top"/>
    </xf>
    <xf numFmtId="0" fontId="1" fillId="0" borderId="1" xfId="0" quotePrefix="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0" borderId="2" xfId="0" quotePrefix="1" applyFont="1" applyBorder="1" applyAlignment="1">
      <alignment horizontal="left" vertical="top" wrapText="1"/>
    </xf>
    <xf numFmtId="0" fontId="1" fillId="0" borderId="3" xfId="0" quotePrefix="1" applyFont="1" applyBorder="1" applyAlignment="1">
      <alignment horizontal="left" vertical="top" wrapText="1"/>
    </xf>
    <xf numFmtId="0" fontId="1" fillId="0" borderId="4" xfId="0" quotePrefix="1" applyFont="1" applyBorder="1" applyAlignment="1">
      <alignment horizontal="left" vertical="top" wrapText="1"/>
    </xf>
  </cellXfs>
  <cellStyles count="1">
    <cellStyle name="Normal" xfId="0" builtinId="0"/>
  </cellStyles>
  <dxfs count="21">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s>
  <tableStyles count="6" defaultTableStyle="TableStyleMedium9" defaultPivotStyle="PivotStyleLight16">
    <tableStyle name="Data-Setting-style" pivot="0" count="3" xr9:uid="{4B45045E-69E0-4519-98F5-E409C16A6FC7}">
      <tableStyleElement type="headerRow" dxfId="20"/>
      <tableStyleElement type="firstRowStripe" dxfId="19"/>
      <tableStyleElement type="secondRowStripe" dxfId="18"/>
    </tableStyle>
    <tableStyle name="Data-Setting-style 2" pivot="0" count="3" xr9:uid="{F12F8E63-734F-49D8-85F7-79F1FD57249B}">
      <tableStyleElement type="headerRow" dxfId="17"/>
      <tableStyleElement type="firstRowStripe" dxfId="16"/>
      <tableStyleElement type="secondRowStripe" dxfId="15"/>
    </tableStyle>
    <tableStyle name="Data-Setting-style 2 2" pivot="0" count="3" xr9:uid="{79E30646-064A-4E6E-8C9F-57538C0B5892}">
      <tableStyleElement type="headerRow" dxfId="14"/>
      <tableStyleElement type="firstRowStripe" dxfId="13"/>
      <tableStyleElement type="secondRowStripe" dxfId="12"/>
    </tableStyle>
    <tableStyle name="Data-Setting-style 3" pivot="0" count="3" xr9:uid="{748AF462-EF03-40A7-AD83-8E24EFF3BFE6}">
      <tableStyleElement type="headerRow" dxfId="11"/>
      <tableStyleElement type="firstRowStripe" dxfId="10"/>
      <tableStyleElement type="secondRowStripe" dxfId="9"/>
    </tableStyle>
    <tableStyle name="RAWDATA-TS-style" pivot="0" count="3" xr9:uid="{2BC226EA-1B29-412A-A5BA-A90EEF355ED0}">
      <tableStyleElement type="headerRow" dxfId="8"/>
      <tableStyleElement type="firstRowStripe" dxfId="7"/>
      <tableStyleElement type="secondRowStripe" dxfId="6"/>
    </tableStyle>
    <tableStyle name="RAWDATA-TS-style 2" pivot="0" count="3" xr9:uid="{3DB890DF-76BD-40EB-A90C-3ADC90244373}">
      <tableStyleElement type="headerRow" dxfId="5"/>
      <tableStyleElement type="firstRowStripe" dxfId="4"/>
      <tableStyleElement type="secondRowStripe" dxfId="3"/>
    </tableStyle>
  </tableStyles>
  <colors>
    <mruColors>
      <color rgb="FF0000FF"/>
      <color rgb="FFFFFFCC"/>
      <color rgb="FF0099CC"/>
      <color rgb="FF9933FF"/>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735C-D672-4722-84DC-161CEB64ABD0}">
  <dimension ref="B1:F36"/>
  <sheetViews>
    <sheetView tabSelected="1" topLeftCell="A36" zoomScale="160" zoomScaleNormal="160" workbookViewId="0">
      <selection activeCell="C36" sqref="C36:F36"/>
    </sheetView>
  </sheetViews>
  <sheetFormatPr defaultColWidth="8.7265625" defaultRowHeight="10" x14ac:dyDescent="0.2"/>
  <cols>
    <col min="1" max="1" width="1.54296875" style="1" customWidth="1"/>
    <col min="2" max="2" width="15.54296875" style="1" customWidth="1"/>
    <col min="3" max="3" width="10.54296875" style="1" customWidth="1"/>
    <col min="4" max="4" width="18.54296875" style="1" customWidth="1"/>
    <col min="5" max="6" width="15.54296875" style="1" customWidth="1"/>
    <col min="7" max="7" width="14.1796875" style="1" customWidth="1"/>
    <col min="8" max="16384" width="8.7265625" style="1"/>
  </cols>
  <sheetData>
    <row r="1" spans="2:6" ht="18" x14ac:dyDescent="0.4">
      <c r="B1" s="2" t="s">
        <v>0</v>
      </c>
      <c r="C1" s="4"/>
      <c r="D1" s="5"/>
    </row>
    <row r="2" spans="2:6" x14ac:dyDescent="0.2">
      <c r="B2" s="6"/>
      <c r="C2" s="7"/>
      <c r="D2" s="7"/>
    </row>
    <row r="3" spans="2:6" ht="10.5" x14ac:dyDescent="0.2">
      <c r="B3" s="8" t="s">
        <v>1</v>
      </c>
      <c r="C3" s="21" t="s">
        <v>2</v>
      </c>
      <c r="D3" s="9" t="s">
        <v>3</v>
      </c>
      <c r="E3" s="10"/>
    </row>
    <row r="4" spans="2:6" ht="10.5" x14ac:dyDescent="0.2">
      <c r="B4" s="8" t="s">
        <v>4</v>
      </c>
      <c r="C4" s="11" t="s">
        <v>5</v>
      </c>
      <c r="D4" s="10"/>
      <c r="E4" s="10"/>
    </row>
    <row r="5" spans="2:6" ht="10.5" x14ac:dyDescent="0.2">
      <c r="B5" s="8" t="s">
        <v>6</v>
      </c>
      <c r="C5" s="9" t="s">
        <v>7</v>
      </c>
      <c r="D5" s="15" t="s">
        <v>8</v>
      </c>
      <c r="E5" s="10"/>
    </row>
    <row r="6" spans="2:6" ht="10.5" x14ac:dyDescent="0.2">
      <c r="B6" s="8" t="s">
        <v>9</v>
      </c>
      <c r="C6" s="11" t="s">
        <v>10</v>
      </c>
      <c r="D6" s="8" t="s">
        <v>11</v>
      </c>
      <c r="E6" s="11" t="s">
        <v>12</v>
      </c>
    </row>
    <row r="7" spans="2:6" x14ac:dyDescent="0.2">
      <c r="B7" s="10"/>
      <c r="C7" s="10"/>
      <c r="D7" s="10"/>
      <c r="E7" s="10"/>
    </row>
    <row r="8" spans="2:6" ht="10.5" x14ac:dyDescent="0.2">
      <c r="B8" s="8" t="s">
        <v>13</v>
      </c>
      <c r="C8" s="8"/>
      <c r="D8" s="8"/>
      <c r="E8" s="8"/>
      <c r="F8" s="8"/>
    </row>
    <row r="9" spans="2:6" ht="60" customHeight="1" x14ac:dyDescent="0.2">
      <c r="B9" s="16" t="s">
        <v>14</v>
      </c>
      <c r="C9" s="17" t="s">
        <v>40</v>
      </c>
      <c r="D9" s="23" t="s">
        <v>34</v>
      </c>
      <c r="E9" s="24"/>
      <c r="F9" s="24"/>
    </row>
    <row r="10" spans="2:6" x14ac:dyDescent="0.2">
      <c r="B10" s="11"/>
      <c r="C10" s="11"/>
      <c r="D10" s="10"/>
      <c r="E10" s="10"/>
      <c r="F10" s="10"/>
    </row>
    <row r="11" spans="2:6" ht="10.5" x14ac:dyDescent="0.2">
      <c r="B11" s="8" t="s">
        <v>15</v>
      </c>
      <c r="C11" s="8"/>
      <c r="D11" s="8"/>
      <c r="E11" s="8"/>
      <c r="F11" s="8"/>
    </row>
    <row r="12" spans="2:6" ht="218.15" customHeight="1" x14ac:dyDescent="0.2">
      <c r="B12" s="11" t="s">
        <v>16</v>
      </c>
      <c r="C12" s="25" t="s">
        <v>42</v>
      </c>
      <c r="D12" s="26"/>
      <c r="E12" s="26"/>
      <c r="F12" s="27"/>
    </row>
    <row r="13" spans="2:6" ht="141" customHeight="1" x14ac:dyDescent="0.2">
      <c r="B13" s="11" t="s">
        <v>17</v>
      </c>
      <c r="C13" s="25" t="s">
        <v>41</v>
      </c>
      <c r="D13" s="26"/>
      <c r="E13" s="26"/>
      <c r="F13" s="27"/>
    </row>
    <row r="14" spans="2:6" ht="87" customHeight="1" x14ac:dyDescent="0.2">
      <c r="B14" s="3" t="s">
        <v>18</v>
      </c>
      <c r="C14" s="25" t="s">
        <v>36</v>
      </c>
      <c r="D14" s="26"/>
      <c r="E14" s="26"/>
      <c r="F14" s="27"/>
    </row>
    <row r="15" spans="2:6" ht="136" customHeight="1" x14ac:dyDescent="0.2">
      <c r="B15" s="3" t="s">
        <v>19</v>
      </c>
      <c r="C15" s="25" t="s">
        <v>35</v>
      </c>
      <c r="D15" s="26"/>
      <c r="E15" s="26"/>
      <c r="F15" s="27"/>
    </row>
    <row r="16" spans="2:6" x14ac:dyDescent="0.2">
      <c r="B16" s="10"/>
      <c r="C16" s="10"/>
      <c r="D16" s="10"/>
      <c r="E16" s="10"/>
    </row>
    <row r="17" spans="2:6" ht="10.5" x14ac:dyDescent="0.2">
      <c r="B17" s="8" t="s">
        <v>20</v>
      </c>
      <c r="C17" s="8" t="s">
        <v>1</v>
      </c>
      <c r="D17" s="8" t="s">
        <v>21</v>
      </c>
      <c r="E17" s="8" t="s">
        <v>22</v>
      </c>
      <c r="F17" s="8" t="s">
        <v>23</v>
      </c>
    </row>
    <row r="18" spans="2:6" x14ac:dyDescent="0.2">
      <c r="B18" s="12" t="s">
        <v>24</v>
      </c>
      <c r="C18" s="12" t="str">
        <f>YEAR(D18)&amp;"-"&amp;"W"&amp;TEXT(WEEKNUM(D18,21),"0#")</f>
        <v>2025-W46</v>
      </c>
      <c r="D18" s="13">
        <v>45971</v>
      </c>
      <c r="E18" s="13">
        <f xml:space="preserve"> D18+(6-WEEKDAY(D18,3))</f>
        <v>45977</v>
      </c>
      <c r="F18" s="19" t="s">
        <v>25</v>
      </c>
    </row>
    <row r="19" spans="2:6" x14ac:dyDescent="0.2">
      <c r="B19" s="12"/>
      <c r="C19" s="12" t="str">
        <f>YEAR(D19)&amp;"-"&amp;"W"&amp;TEXT(WEEKNUM(D19,21),"0#")</f>
        <v>2025-W47</v>
      </c>
      <c r="D19" s="13">
        <f>D18+( 7-WEEKDAY(D18,3))</f>
        <v>45978</v>
      </c>
      <c r="E19" s="13">
        <f xml:space="preserve"> D19+(6-WEEKDAY(D19,3))</f>
        <v>45984</v>
      </c>
      <c r="F19" s="19" t="s">
        <v>25</v>
      </c>
    </row>
    <row r="20" spans="2:6" x14ac:dyDescent="0.2">
      <c r="B20" s="12" t="s">
        <v>26</v>
      </c>
      <c r="C20" s="12" t="str">
        <f t="shared" ref="C20:C30" si="0">YEAR(D20)&amp;"-"&amp;"W"&amp;TEXT(WEEKNUM(D20,21),"0#")</f>
        <v>2025-W48</v>
      </c>
      <c r="D20" s="13">
        <f t="shared" ref="D20:D30" si="1">D19+( 7-WEEKDAY(D19,3))</f>
        <v>45985</v>
      </c>
      <c r="E20" s="13">
        <f t="shared" ref="E20:E30" si="2" xml:space="preserve"> D20+(6-WEEKDAY(D20,3))</f>
        <v>45991</v>
      </c>
      <c r="F20" s="19" t="s">
        <v>25</v>
      </c>
    </row>
    <row r="21" spans="2:6" x14ac:dyDescent="0.2">
      <c r="B21" s="12"/>
      <c r="C21" s="12" t="str">
        <f t="shared" si="0"/>
        <v>2025-W49</v>
      </c>
      <c r="D21" s="13">
        <f t="shared" si="1"/>
        <v>45992</v>
      </c>
      <c r="E21" s="13">
        <f t="shared" si="2"/>
        <v>45998</v>
      </c>
      <c r="F21" s="18" t="s">
        <v>27</v>
      </c>
    </row>
    <row r="22" spans="2:6" x14ac:dyDescent="0.2">
      <c r="B22" s="12"/>
      <c r="C22" s="12" t="str">
        <f t="shared" si="0"/>
        <v>2025-W50</v>
      </c>
      <c r="D22" s="13">
        <f t="shared" si="1"/>
        <v>45999</v>
      </c>
      <c r="E22" s="13">
        <f t="shared" si="2"/>
        <v>46005</v>
      </c>
      <c r="F22" s="20" t="s">
        <v>28</v>
      </c>
    </row>
    <row r="23" spans="2:6" x14ac:dyDescent="0.2">
      <c r="B23" s="12"/>
      <c r="C23" s="12" t="str">
        <f t="shared" si="0"/>
        <v>2025-W51</v>
      </c>
      <c r="D23" s="13">
        <f t="shared" si="1"/>
        <v>46006</v>
      </c>
      <c r="E23" s="13">
        <f t="shared" si="2"/>
        <v>46012</v>
      </c>
      <c r="F23" s="14" t="s">
        <v>28</v>
      </c>
    </row>
    <row r="24" spans="2:6" x14ac:dyDescent="0.2">
      <c r="B24" s="12"/>
      <c r="C24" s="12" t="str">
        <f t="shared" si="0"/>
        <v>2025-W52</v>
      </c>
      <c r="D24" s="13">
        <f t="shared" si="1"/>
        <v>46013</v>
      </c>
      <c r="E24" s="13">
        <f t="shared" si="2"/>
        <v>46019</v>
      </c>
      <c r="F24" s="14" t="s">
        <v>28</v>
      </c>
    </row>
    <row r="25" spans="2:6" x14ac:dyDescent="0.2">
      <c r="B25" s="12"/>
      <c r="C25" s="12" t="str">
        <f t="shared" si="0"/>
        <v>2025-W01</v>
      </c>
      <c r="D25" s="13">
        <f t="shared" si="1"/>
        <v>46020</v>
      </c>
      <c r="E25" s="13">
        <f t="shared" si="2"/>
        <v>46026</v>
      </c>
      <c r="F25" s="14" t="s">
        <v>28</v>
      </c>
    </row>
    <row r="26" spans="2:6" x14ac:dyDescent="0.2">
      <c r="B26" s="12"/>
      <c r="C26" s="12" t="str">
        <f t="shared" si="0"/>
        <v>2026-W02</v>
      </c>
      <c r="D26" s="13">
        <f t="shared" si="1"/>
        <v>46027</v>
      </c>
      <c r="E26" s="13">
        <f t="shared" si="2"/>
        <v>46033</v>
      </c>
      <c r="F26" s="14" t="s">
        <v>28</v>
      </c>
    </row>
    <row r="27" spans="2:6" x14ac:dyDescent="0.2">
      <c r="B27" s="12"/>
      <c r="C27" s="12" t="str">
        <f t="shared" si="0"/>
        <v>2026-W03</v>
      </c>
      <c r="D27" s="13">
        <f t="shared" si="1"/>
        <v>46034</v>
      </c>
      <c r="E27" s="13">
        <f t="shared" si="2"/>
        <v>46040</v>
      </c>
      <c r="F27" s="14" t="s">
        <v>28</v>
      </c>
    </row>
    <row r="28" spans="2:6" x14ac:dyDescent="0.2">
      <c r="B28" s="12"/>
      <c r="C28" s="12" t="str">
        <f t="shared" si="0"/>
        <v>2026-W04</v>
      </c>
      <c r="D28" s="13">
        <f t="shared" si="1"/>
        <v>46041</v>
      </c>
      <c r="E28" s="13">
        <f t="shared" si="2"/>
        <v>46047</v>
      </c>
      <c r="F28" s="14" t="s">
        <v>28</v>
      </c>
    </row>
    <row r="29" spans="2:6" x14ac:dyDescent="0.2">
      <c r="B29" s="12" t="s">
        <v>29</v>
      </c>
      <c r="C29" s="12" t="str">
        <f t="shared" si="0"/>
        <v>2026-W05</v>
      </c>
      <c r="D29" s="13">
        <f t="shared" si="1"/>
        <v>46048</v>
      </c>
      <c r="E29" s="13">
        <f t="shared" si="2"/>
        <v>46054</v>
      </c>
      <c r="F29" s="14" t="s">
        <v>28</v>
      </c>
    </row>
    <row r="30" spans="2:6" x14ac:dyDescent="0.2">
      <c r="B30" s="12" t="s">
        <v>30</v>
      </c>
      <c r="C30" s="12" t="str">
        <f t="shared" si="0"/>
        <v>2026-W06</v>
      </c>
      <c r="D30" s="13">
        <f t="shared" si="1"/>
        <v>46055</v>
      </c>
      <c r="E30" s="13">
        <f t="shared" si="2"/>
        <v>46061</v>
      </c>
      <c r="F30" s="14" t="s">
        <v>28</v>
      </c>
    </row>
    <row r="32" spans="2:6" ht="10.5" x14ac:dyDescent="0.2">
      <c r="B32" s="8" t="s">
        <v>31</v>
      </c>
      <c r="C32" s="8"/>
      <c r="D32" s="8"/>
      <c r="E32" s="8"/>
      <c r="F32" s="8"/>
    </row>
    <row r="33" spans="2:6" ht="55" customHeight="1" x14ac:dyDescent="0.2">
      <c r="B33" s="3" t="s">
        <v>32</v>
      </c>
      <c r="C33" s="22" t="s">
        <v>33</v>
      </c>
      <c r="D33" s="22"/>
      <c r="E33" s="22"/>
      <c r="F33" s="22"/>
    </row>
    <row r="35" spans="2:6" ht="10.5" x14ac:dyDescent="0.2">
      <c r="B35" s="8" t="s">
        <v>37</v>
      </c>
      <c r="C35" s="8"/>
      <c r="D35" s="8"/>
      <c r="E35" s="8"/>
      <c r="F35" s="8"/>
    </row>
    <row r="36" spans="2:6" ht="243" customHeight="1" x14ac:dyDescent="0.2">
      <c r="B36" s="3" t="s">
        <v>38</v>
      </c>
      <c r="C36" s="22" t="s">
        <v>39</v>
      </c>
      <c r="D36" s="22"/>
      <c r="E36" s="22"/>
      <c r="F36" s="22"/>
    </row>
  </sheetData>
  <mergeCells count="7">
    <mergeCell ref="C36:F36"/>
    <mergeCell ref="D9:F9"/>
    <mergeCell ref="C12:F12"/>
    <mergeCell ref="C13:F13"/>
    <mergeCell ref="C14:F14"/>
    <mergeCell ref="C15:F15"/>
    <mergeCell ref="C33:F33"/>
  </mergeCells>
  <conditionalFormatting sqref="C23:D29">
    <cfRule type="containsText" dxfId="2" priority="1" operator="containsText" text="CRITICAL">
      <formula>NOT(ISERROR(SEARCH("CRITICAL",C23)))</formula>
    </cfRule>
    <cfRule type="containsText" dxfId="1" priority="2" operator="containsText" text="WARNING">
      <formula>NOT(ISERROR(SEARCH("WARNING",C23)))</formula>
    </cfRule>
    <cfRule type="containsText" dxfId="0" priority="3" operator="containsText" text="OK">
      <formula>NOT(ISERROR(SEARCH("OK",C23)))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W4-05.Dec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Tony Nguyen</cp:lastModifiedBy>
  <cp:revision/>
  <dcterms:created xsi:type="dcterms:W3CDTF">2023-06-12T15:04:10Z</dcterms:created>
  <dcterms:modified xsi:type="dcterms:W3CDTF">2025-12-06T03:38:15Z</dcterms:modified>
  <cp:category/>
  <cp:contentStatus/>
</cp:coreProperties>
</file>