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6045" documentId="11_E3635A91D89360E2088FC70966A6DD3BA462BE81" xr6:coauthVersionLast="47" xr6:coauthVersionMax="47" xr10:uidLastSave="{C527214E-761A-4A44-BFF2-0CFDB5F05626}"/>
  <bookViews>
    <workbookView xWindow="-110" yWindow="-110" windowWidth="19420" windowHeight="11500" xr2:uid="{00000000-000D-0000-FFFF-FFFF00000000}"/>
  </bookViews>
  <sheets>
    <sheet name="W10-17.Jan"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0" l="1"/>
  <c r="D21" i="20" s="1"/>
  <c r="E19" i="20"/>
  <c r="C19" i="20"/>
  <c r="D22" i="20" l="1"/>
  <c r="E21" i="20"/>
  <c r="C21" i="20"/>
  <c r="C20" i="20"/>
  <c r="E20" i="20"/>
  <c r="D23" i="20" l="1"/>
  <c r="E22" i="20"/>
  <c r="C22" i="20"/>
  <c r="E23" i="20" l="1"/>
  <c r="C23" i="20"/>
  <c r="D24" i="20"/>
  <c r="D25" i="20" l="1"/>
  <c r="E24" i="20"/>
  <c r="C24" i="20"/>
  <c r="D26" i="20" l="1"/>
  <c r="E25" i="20"/>
  <c r="C25" i="20"/>
  <c r="D27" i="20" l="1"/>
  <c r="E26" i="20"/>
  <c r="C26" i="20"/>
  <c r="E27" i="20" l="1"/>
  <c r="C27" i="20"/>
  <c r="D28" i="20"/>
  <c r="D29" i="20" l="1"/>
  <c r="C28" i="20"/>
  <c r="E28" i="20"/>
  <c r="D30" i="20" l="1"/>
  <c r="E29" i="20"/>
  <c r="C29" i="20"/>
  <c r="D31" i="20" l="1"/>
  <c r="C30" i="20"/>
  <c r="E30" i="20"/>
  <c r="E31" i="20" l="1"/>
  <c r="C31" i="20"/>
</calcChain>
</file>

<file path=xl/sharedStrings.xml><?xml version="1.0" encoding="utf-8"?>
<sst xmlns="http://schemas.openxmlformats.org/spreadsheetml/2006/main" count="54" uniqueCount="43">
  <si>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</si>
  <si>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</si>
  <si>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</si>
  <si>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</si>
  <si>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</si>
  <si>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</si>
  <si>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</si>
  <si>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</si>
  <si>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</si>
  <si>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</si>
  <si>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</si>
  <si>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</si>
  <si>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</si>
  <si>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</si>
  <si>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</si>
  <si>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</si>
  <si>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</si>
  <si>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</si>
  <si>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</si>
  <si>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</si>
  <si>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</si>
  <si>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</si>
  <si>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</si>
  <si>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</si>
  <si>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</si>
  <si>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</si>
  <si>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</si>
  <si>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Other Note</t>
  </si>
  <si>
    <t>Thử nghiệm</t>
  </si>
  <si>
    <t>Sử dụng thực tế</t>
  </si>
  <si>
    <t>- Danh sách công việc và trạng thái
- Báo cáo tuần
- Tóm tắt tình hình import data vào hệ thống mới
&gt;&gt;&gt; Link tham khảo:  https://1drv.ms/f/c/e54d77a9688661eb/Eh-k0gWYkp9IoZHzEl4lt8gBjHtoEvToZOHHz7i9BkCHWQ?e=6ZjilW</t>
  </si>
  <si>
    <t>Dữ liệu import vào môi trường production</t>
  </si>
  <si>
    <r>
      <t xml:space="preserve">Quyết định những dữ liệu nào và bao nhiêu là đủ (liên quan đến dữ liệu dùng chung, dữ liệu cấp đơn/bồi thường) sẽ được import vào môi trường production chuẩn bị cho bước chạy kiểm thử và GOLIVE.
</t>
    </r>
    <r>
      <rPr>
        <i/>
        <u/>
        <sz val="8"/>
        <color theme="1"/>
        <rFont val="Arial"/>
        <family val="2"/>
      </rPr>
      <t>Chú ý:</t>
    </r>
    <r>
      <rPr>
        <sz val="8"/>
        <color theme="1"/>
        <rFont val="Arial"/>
        <family val="2"/>
      </rPr>
      <t xml:space="preserve"> Dữ liệu này cũng được xem như dữ liệu thật sẽ được dùng cho production sau này. </t>
    </r>
  </si>
  <si>
    <t>Rủi ro #1: Quyết định những dữ liệu nào và bao nhiêu là đủ (dữ liệu dùng chung, dữ liệu cấp đơn/bồi thường) sẽ được import vào môi trường production chuẩn bị cho bước chạy kiểm thử và GOLIVE.
  + Team sẽ phối hợp với Vỹ (và BeeVN) để cùng thực hiện.
Rủi ro #2: Có nhiều feedback thay đổi (nếu có) sẽ ảnh hưởng đển thời gian hoàn thành của dự án.</t>
  </si>
  <si>
    <t>BeeOS - Báo cáo - Tuần 10</t>
  </si>
  <si>
    <t>12.01.2026</t>
  </si>
  <si>
    <t>16.01.2026</t>
  </si>
  <si>
    <t>85% (+6)</t>
  </si>
  <si>
    <t xml:space="preserve">Những điểm nổi bật:
- Đã hỗ trợ hầu hết những feedback (ngày 09.01) của BeeVN.
- Tiếp tục kiểm chứng và fix bug cho 2 luồng cấp đơn và bồi thường.
</t>
  </si>
  <si>
    <r>
      <t>(</t>
    </r>
    <r>
      <rPr>
        <b/>
        <sz val="8"/>
        <color theme="1"/>
        <rFont val="Arial"/>
        <family val="2"/>
      </rPr>
      <t>26</t>
    </r>
    <r>
      <rPr>
        <b/>
        <i/>
        <sz val="8"/>
        <color theme="1"/>
        <rFont val="Arial"/>
        <family val="2"/>
      </rPr>
      <t>.Jan -&gt; 30.Jan</t>
    </r>
    <r>
      <rPr>
        <sz val="8"/>
        <color theme="1"/>
        <rFont val="Arial"/>
        <family val="2"/>
      </rPr>
      <t>) Tiến hành chạy thử nghiệm lấy kết quả đã đủ điều kiện GOLIVE hay chưa trên môi trường production.</t>
    </r>
  </si>
  <si>
    <t xml:space="preserve">1. Team hiện vẫn đang tiếp tục kiểm chứng và fix bug cho 2 luồng cấp đơn và bồi thường, cố gắng tìm và fix càng nhiều tình huống càng tốt.
2. Đã hỗ trợ 90% những điểm feedback cho cả 3 lần (ngày 17.12, 06.01, 09.01)
3. Data migration: 50% 
-  Đã import 1 số dữ liệu chuẩn hóa vào môi trường Staging </t>
  </si>
  <si>
    <r>
      <rPr>
        <b/>
        <sz val="8"/>
        <color theme="1"/>
        <rFont val="Arial"/>
        <family val="2"/>
      </rPr>
      <t>Team đặt mục tiêu:</t>
    </r>
    <r>
      <rPr>
        <sz val="8"/>
        <color theme="1"/>
        <rFont val="Arial"/>
        <family val="2"/>
      </rPr>
      <t xml:space="preserve"> 
1. Tiếp tục kiểm thử và fix bugs.
2. Tiếp tục hỗ trợ những phản hồi từ BeeVN trong lúc trải nghiệm trên môi trường Vinova Staging (vòng kiểm chứng cuối)
3. Tiếp tục import dữ liệu cấp đơn và bồi thường (nếu có dữ liệu mới hay dữ liệu cập nhật)</t>
    </r>
  </si>
  <si>
    <r>
      <t>(</t>
    </r>
    <r>
      <rPr>
        <b/>
        <sz val="8"/>
        <color theme="1"/>
        <rFont val="Arial"/>
        <family val="2"/>
      </rPr>
      <t>19</t>
    </r>
    <r>
      <rPr>
        <b/>
        <i/>
        <sz val="8"/>
        <color theme="1"/>
        <rFont val="Arial"/>
        <family val="2"/>
      </rPr>
      <t>.Jan -&gt; 23.Jan</t>
    </r>
    <r>
      <rPr>
        <sz val="8"/>
        <color theme="1"/>
        <rFont val="Arial"/>
        <family val="2"/>
      </rPr>
      <t>) với nội dung chính:
- Tiếp tục hỗ trợ những phản hồi từ BeeVN trong lúc trải nghiệm trên môi trường Vinova Staging cho vòng cuối.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</si>
</sst>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b/>
      <i/>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9">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0" xfId="0" quotePrefix="1" applyFont="1" applyAlignment="1">
      <alignment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G37"/>
  <sheetViews>
    <sheetView tabSelected="1" topLeftCell="A14" zoomScale="175" zoomScaleNormal="175" workbookViewId="0">
      <selection activeCell="C16" sqref="C16:F16"/>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7" ht="18" x14ac:dyDescent="0.4">
      <c r="B1" s="2" t="s">
        <v>34</v>
      </c>
      <c r="C1" s="4"/>
      <c r="D1" s="5"/>
    </row>
    <row r="2" spans="2:7" x14ac:dyDescent="0.2">
      <c r="B2" s="6"/>
      <c r="C2" s="7"/>
      <c r="D2" s="7"/>
    </row>
    <row r="3" spans="2:7" ht="10.5" x14ac:dyDescent="0.2">
      <c r="B3" s="8" t="s">
        <v>0</v>
      </c>
      <c r="C3" s="21" t="s">
        <v>35</v>
      </c>
      <c r="D3" s="21" t="s">
        <v>36</v>
      </c>
      <c r="E3" s="10"/>
    </row>
    <row r="4" spans="2:7" ht="10.5" x14ac:dyDescent="0.2">
      <c r="B4" s="8" t="s">
        <v>1</v>
      </c>
      <c r="C4" s="11" t="s">
        <v>2</v>
      </c>
      <c r="D4" s="10"/>
      <c r="E4" s="10"/>
    </row>
    <row r="5" spans="2:7" ht="10.5" x14ac:dyDescent="0.2">
      <c r="B5" s="8" t="s">
        <v>3</v>
      </c>
      <c r="C5" s="9" t="s">
        <v>4</v>
      </c>
      <c r="D5" s="15" t="s">
        <v>5</v>
      </c>
      <c r="E5" s="10"/>
    </row>
    <row r="6" spans="2:7" ht="10.5" x14ac:dyDescent="0.2">
      <c r="B6" s="8" t="s">
        <v>6</v>
      </c>
      <c r="C6" s="11" t="s">
        <v>7</v>
      </c>
      <c r="D6" s="8" t="s">
        <v>8</v>
      </c>
      <c r="E6" s="11" t="s">
        <v>9</v>
      </c>
    </row>
    <row r="7" spans="2:7" x14ac:dyDescent="0.2">
      <c r="B7" s="10"/>
      <c r="C7" s="10"/>
      <c r="D7" s="10"/>
      <c r="E7" s="10"/>
    </row>
    <row r="8" spans="2:7" ht="10.5" x14ac:dyDescent="0.2">
      <c r="B8" s="8" t="s">
        <v>10</v>
      </c>
      <c r="C8" s="8"/>
      <c r="D8" s="8"/>
      <c r="E8" s="8"/>
      <c r="F8" s="8"/>
    </row>
    <row r="9" spans="2:7" ht="49" customHeight="1" x14ac:dyDescent="0.2">
      <c r="B9" s="16" t="s">
        <v>11</v>
      </c>
      <c r="C9" s="17" t="s">
        <v>37</v>
      </c>
      <c r="D9" s="24" t="s">
        <v>38</v>
      </c>
      <c r="E9" s="25"/>
      <c r="F9" s="25"/>
      <c r="G9" s="22"/>
    </row>
    <row r="10" spans="2:7" x14ac:dyDescent="0.2">
      <c r="B10" s="11"/>
      <c r="C10" s="11"/>
      <c r="D10" s="10"/>
      <c r="E10" s="10"/>
      <c r="F10" s="10"/>
    </row>
    <row r="11" spans="2:7" ht="10.5" x14ac:dyDescent="0.2">
      <c r="B11" s="8" t="s">
        <v>12</v>
      </c>
      <c r="C11" s="8"/>
      <c r="D11" s="8"/>
      <c r="E11" s="8"/>
      <c r="F11" s="8"/>
    </row>
    <row r="12" spans="2:7" ht="81.5" customHeight="1" x14ac:dyDescent="0.2">
      <c r="B12" s="11" t="s">
        <v>13</v>
      </c>
      <c r="C12" s="26" t="s">
        <v>40</v>
      </c>
      <c r="D12" s="27"/>
      <c r="E12" s="27"/>
      <c r="F12" s="28"/>
    </row>
    <row r="13" spans="2:7" ht="80.5" customHeight="1" x14ac:dyDescent="0.2">
      <c r="B13" s="11" t="s">
        <v>14</v>
      </c>
      <c r="C13" s="26" t="s">
        <v>41</v>
      </c>
      <c r="D13" s="27"/>
      <c r="E13" s="27"/>
      <c r="F13" s="28"/>
    </row>
    <row r="14" spans="2:7" ht="39" customHeight="1" x14ac:dyDescent="0.2">
      <c r="B14" s="11"/>
      <c r="C14" s="26" t="s">
        <v>42</v>
      </c>
      <c r="D14" s="27"/>
      <c r="E14" s="27"/>
      <c r="F14" s="28"/>
    </row>
    <row r="15" spans="2:7" ht="29" customHeight="1" x14ac:dyDescent="0.2">
      <c r="B15" s="11"/>
      <c r="C15" s="26" t="s">
        <v>39</v>
      </c>
      <c r="D15" s="27"/>
      <c r="E15" s="27"/>
      <c r="F15" s="28"/>
    </row>
    <row r="16" spans="2:7" ht="60" customHeight="1" x14ac:dyDescent="0.2">
      <c r="B16" s="3" t="s">
        <v>15</v>
      </c>
      <c r="C16" s="26" t="s">
        <v>33</v>
      </c>
      <c r="D16" s="27"/>
      <c r="E16" s="27"/>
      <c r="F16" s="28"/>
    </row>
    <row r="17" spans="2:6" x14ac:dyDescent="0.2">
      <c r="B17" s="10"/>
      <c r="C17" s="10"/>
      <c r="D17" s="10"/>
      <c r="E17" s="10"/>
    </row>
    <row r="18" spans="2:6" ht="10.5" x14ac:dyDescent="0.2">
      <c r="B18" s="8" t="s">
        <v>16</v>
      </c>
      <c r="C18" s="8" t="s">
        <v>0</v>
      </c>
      <c r="D18" s="8" t="s">
        <v>17</v>
      </c>
      <c r="E18" s="8" t="s">
        <v>18</v>
      </c>
      <c r="F18" s="8" t="s">
        <v>19</v>
      </c>
    </row>
    <row r="19" spans="2:6" x14ac:dyDescent="0.2">
      <c r="B19" s="12" t="s">
        <v>20</v>
      </c>
      <c r="C19" s="12" t="str">
        <f>YEAR(D19)&amp;"-"&amp;"W"&amp;TEXT(WEEKNUM(D19,21),"0#")</f>
        <v>2025-W46</v>
      </c>
      <c r="D19" s="13">
        <v>45971</v>
      </c>
      <c r="E19" s="13">
        <f xml:space="preserve"> D19+(6-WEEKDAY(D19,3))</f>
        <v>45977</v>
      </c>
      <c r="F19" s="19" t="s">
        <v>21</v>
      </c>
    </row>
    <row r="20" spans="2:6" x14ac:dyDescent="0.2">
      <c r="B20" s="12"/>
      <c r="C20" s="12" t="str">
        <f>YEAR(D20)&amp;"-"&amp;"W"&amp;TEXT(WEEKNUM(D20,21),"0#")</f>
        <v>2025-W47</v>
      </c>
      <c r="D20" s="13">
        <f>D19+( 7-WEEKDAY(D19,3))</f>
        <v>45978</v>
      </c>
      <c r="E20" s="13">
        <f xml:space="preserve"> D20+(6-WEEKDAY(D20,3))</f>
        <v>45984</v>
      </c>
      <c r="F20" s="19" t="s">
        <v>21</v>
      </c>
    </row>
    <row r="21" spans="2:6" x14ac:dyDescent="0.2">
      <c r="B21" s="12" t="s">
        <v>22</v>
      </c>
      <c r="C21" s="12" t="str">
        <f t="shared" ref="C21:C31" si="0">YEAR(D21)&amp;"-"&amp;"W"&amp;TEXT(WEEKNUM(D21,21),"0#")</f>
        <v>2025-W48</v>
      </c>
      <c r="D21" s="13">
        <f t="shared" ref="D21:D31" si="1">D20+( 7-WEEKDAY(D20,3))</f>
        <v>45985</v>
      </c>
      <c r="E21" s="13">
        <f t="shared" ref="E21:E31" si="2" xml:space="preserve"> D21+(6-WEEKDAY(D21,3))</f>
        <v>45991</v>
      </c>
      <c r="F21" s="19" t="s">
        <v>21</v>
      </c>
    </row>
    <row r="22" spans="2:6" x14ac:dyDescent="0.2">
      <c r="B22" s="12"/>
      <c r="C22" s="12" t="str">
        <f t="shared" si="0"/>
        <v>2025-W49</v>
      </c>
      <c r="D22" s="13">
        <f t="shared" si="1"/>
        <v>45992</v>
      </c>
      <c r="E22" s="13">
        <f t="shared" si="2"/>
        <v>45998</v>
      </c>
      <c r="F22" s="19" t="s">
        <v>21</v>
      </c>
    </row>
    <row r="23" spans="2:6" x14ac:dyDescent="0.2">
      <c r="B23" s="12"/>
      <c r="C23" s="12" t="str">
        <f t="shared" si="0"/>
        <v>2025-W50</v>
      </c>
      <c r="D23" s="13">
        <f t="shared" si="1"/>
        <v>45999</v>
      </c>
      <c r="E23" s="13">
        <f t="shared" si="2"/>
        <v>46005</v>
      </c>
      <c r="F23" s="19" t="s">
        <v>21</v>
      </c>
    </row>
    <row r="24" spans="2:6" x14ac:dyDescent="0.2">
      <c r="B24" s="12"/>
      <c r="C24" s="12" t="str">
        <f t="shared" si="0"/>
        <v>2025-W51</v>
      </c>
      <c r="D24" s="13">
        <f t="shared" si="1"/>
        <v>46006</v>
      </c>
      <c r="E24" s="13">
        <f t="shared" si="2"/>
        <v>46012</v>
      </c>
      <c r="F24" s="19" t="s">
        <v>21</v>
      </c>
    </row>
    <row r="25" spans="2:6" x14ac:dyDescent="0.2">
      <c r="B25" s="12"/>
      <c r="C25" s="12" t="str">
        <f t="shared" si="0"/>
        <v>2025-W52</v>
      </c>
      <c r="D25" s="13">
        <f t="shared" si="1"/>
        <v>46013</v>
      </c>
      <c r="E25" s="13">
        <f t="shared" si="2"/>
        <v>46019</v>
      </c>
      <c r="F25" s="19" t="s">
        <v>21</v>
      </c>
    </row>
    <row r="26" spans="2:6" x14ac:dyDescent="0.2">
      <c r="B26" s="12"/>
      <c r="C26" s="12" t="str">
        <f t="shared" si="0"/>
        <v>2025-W01</v>
      </c>
      <c r="D26" s="13">
        <f t="shared" si="1"/>
        <v>46020</v>
      </c>
      <c r="E26" s="13">
        <f t="shared" si="2"/>
        <v>46026</v>
      </c>
      <c r="F26" s="19" t="s">
        <v>21</v>
      </c>
    </row>
    <row r="27" spans="2:6" x14ac:dyDescent="0.2">
      <c r="B27" s="12"/>
      <c r="C27" s="12" t="str">
        <f t="shared" si="0"/>
        <v>2026-W02</v>
      </c>
      <c r="D27" s="13">
        <f t="shared" si="1"/>
        <v>46027</v>
      </c>
      <c r="E27" s="13">
        <f t="shared" si="2"/>
        <v>46033</v>
      </c>
      <c r="F27" s="19" t="s">
        <v>21</v>
      </c>
    </row>
    <row r="28" spans="2:6" x14ac:dyDescent="0.2">
      <c r="B28" s="12"/>
      <c r="C28" s="12" t="str">
        <f t="shared" si="0"/>
        <v>2026-W03</v>
      </c>
      <c r="D28" s="13">
        <f t="shared" si="1"/>
        <v>46034</v>
      </c>
      <c r="E28" s="13">
        <f t="shared" si="2"/>
        <v>46040</v>
      </c>
      <c r="F28" s="18" t="s">
        <v>23</v>
      </c>
    </row>
    <row r="29" spans="2:6" x14ac:dyDescent="0.2">
      <c r="B29" s="12"/>
      <c r="C29" s="12" t="str">
        <f t="shared" si="0"/>
        <v>2026-W04</v>
      </c>
      <c r="D29" s="13">
        <f t="shared" si="1"/>
        <v>46041</v>
      </c>
      <c r="E29" s="13">
        <f t="shared" si="2"/>
        <v>46047</v>
      </c>
      <c r="F29" s="20" t="s">
        <v>24</v>
      </c>
    </row>
    <row r="30" spans="2:6" x14ac:dyDescent="0.2">
      <c r="B30" s="12" t="s">
        <v>28</v>
      </c>
      <c r="C30" s="12" t="str">
        <f t="shared" si="0"/>
        <v>2026-W05</v>
      </c>
      <c r="D30" s="13">
        <f t="shared" si="1"/>
        <v>46048</v>
      </c>
      <c r="E30" s="13">
        <f t="shared" si="2"/>
        <v>46054</v>
      </c>
      <c r="F30" s="14" t="s">
        <v>24</v>
      </c>
    </row>
    <row r="31" spans="2:6" x14ac:dyDescent="0.2">
      <c r="B31" s="12" t="s">
        <v>29</v>
      </c>
      <c r="C31" s="12" t="str">
        <f t="shared" si="0"/>
        <v>2026-W06</v>
      </c>
      <c r="D31" s="13">
        <f t="shared" si="1"/>
        <v>46055</v>
      </c>
      <c r="E31" s="13">
        <f t="shared" si="2"/>
        <v>46061</v>
      </c>
      <c r="F31" s="14" t="s">
        <v>24</v>
      </c>
    </row>
    <row r="33" spans="2:6" ht="10.5" x14ac:dyDescent="0.2">
      <c r="B33" s="8" t="s">
        <v>25</v>
      </c>
      <c r="C33" s="8"/>
      <c r="D33" s="8"/>
      <c r="E33" s="8"/>
      <c r="F33" s="8"/>
    </row>
    <row r="34" spans="2:6" ht="55" customHeight="1" x14ac:dyDescent="0.2">
      <c r="B34" s="3" t="s">
        <v>26</v>
      </c>
      <c r="C34" s="23" t="s">
        <v>30</v>
      </c>
      <c r="D34" s="23"/>
      <c r="E34" s="23"/>
      <c r="F34" s="23"/>
    </row>
    <row r="36" spans="2:6" ht="10.5" x14ac:dyDescent="0.2">
      <c r="B36" s="8" t="s">
        <v>27</v>
      </c>
      <c r="C36" s="8"/>
      <c r="D36" s="8"/>
      <c r="E36" s="8"/>
      <c r="F36" s="8"/>
    </row>
    <row r="37" spans="2:6" ht="61" customHeight="1" x14ac:dyDescent="0.2">
      <c r="B37" s="3" t="s">
        <v>31</v>
      </c>
      <c r="C37" s="23" t="s">
        <v>32</v>
      </c>
      <c r="D37" s="23"/>
      <c r="E37" s="23"/>
      <c r="F37" s="23"/>
    </row>
  </sheetData>
  <mergeCells count="8">
    <mergeCell ref="C37:F37"/>
    <mergeCell ref="D9:F9"/>
    <mergeCell ref="C12:F12"/>
    <mergeCell ref="C13:F13"/>
    <mergeCell ref="C16:F16"/>
    <mergeCell ref="C34:F34"/>
    <mergeCell ref="C14:F14"/>
    <mergeCell ref="C15:F15"/>
  </mergeCells>
  <conditionalFormatting sqref="C24:D30">
    <cfRule type="containsText" dxfId="2" priority="1" operator="containsText" text="CRITICAL">
      <formula>NOT(ISERROR(SEARCH("CRITICAL",C24)))</formula>
    </cfRule>
    <cfRule type="containsText" dxfId="1" priority="2" operator="containsText" text="WARNING">
      <formula>NOT(ISERROR(SEARCH("WARNING",C24)))</formula>
    </cfRule>
    <cfRule type="containsText" dxfId="0" priority="3" operator="containsText" text="OK">
      <formula>NOT(ISERROR(SEARCH("OK",C24)))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W10-17.Jan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2026-01-17T04:24:22Z</dcterms:modified>
  <cp:category/>
  <cp:contentStatus/>
</cp:coreProperties>
</file>