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e54d77a9688661eb/VNV-Project/BEEOS/SharedDocument/DataMigration/"/>
    </mc:Choice>
  </mc:AlternateContent>
  <xr:revisionPtr revIDLastSave="16154" documentId="11_E3635A91D89360E2088FC70966A6DD3BA462BE81" xr6:coauthVersionLast="47" xr6:coauthVersionMax="47" xr10:uidLastSave="{93DBF100-25C2-4EC4-8FCA-818915462DD7}"/>
  <bookViews>
    <workbookView xWindow="28680" yWindow="-120" windowWidth="29040" windowHeight="16440" xr2:uid="{00000000-000D-0000-FFFF-FFFF00000000}"/>
  </bookViews>
  <sheets>
    <sheet name="Summary" sheetId="20" r:id="rId1"/>
    <sheet name="Reference" sheetId="2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0" l="1"/>
  <c r="E19" i="20"/>
  <c r="E17" i="20"/>
  <c r="E10" i="20"/>
  <c r="E11" i="20"/>
  <c r="E9" i="20"/>
</calcChain>
</file>

<file path=xl/sharedStrings.xml><?xml version="1.0" encoding="utf-8"?>
<sst xmlns="http://schemas.openxmlformats.org/spreadsheetml/2006/main" count="59" uniqueCount="43">
  <si>
    <t>Thống kê việc di dời dữ liệu cũ</t>
  </si>
  <si>
    <t>Updated 16.Jan.2026</t>
  </si>
  <si>
    <t>Trạng thái</t>
  </si>
  <si>
    <t>Đang xử lý</t>
  </si>
  <si>
    <t>Phạm vi</t>
  </si>
  <si>
    <t>1. Cấp đơn (năm 2022, 2023, 2024, 2025)
2. Bồi thường</t>
  </si>
  <si>
    <t>CẤP ĐƠN</t>
  </si>
  <si>
    <t>Năm</t>
  </si>
  <si>
    <t>Tổng số row</t>
  </si>
  <si>
    <t>Dữ liệu đã hoàn thành</t>
  </si>
  <si>
    <t>Dữ liệu chưa hoàn thành</t>
  </si>
  <si>
    <t>Đề xuất (nếu có)</t>
  </si>
  <si>
    <t>Cần hỗ trợ</t>
  </si>
  <si>
    <t>Hạn định</t>
  </si>
  <si>
    <t xml:space="preserve"> </t>
  </si>
  <si>
    <t>Năm 2025</t>
  </si>
  <si>
    <t>- Đang không có P&amp;L
- Các loại bảo hiểm nên đặt tên giống nhua nếu cùng loại. Hoặc cần có 1 bảng về loại bào hiểm để map cho clean data
- Định dạng về thời gian cần giống nhau</t>
  </si>
  <si>
    <t>(Updated 30.Dec from Vy) 
- Bỏ không import loại hình Tàu, xe, MMTB -&gt; do phí không cố định.
- Không import row #111: bảo hiểm d&amp;o
- Không import #180 + cái nào khó quá thì cũng bỏ qua luôn.</t>
  </si>
  <si>
    <t>Năm 2024</t>
  </si>
  <si>
    <t>Năm 2023</t>
  </si>
  <si>
    <t>(Updated 26.Jan.2026)
&gt;&gt;&gt; 2023 không có thì chắc quên nó đi thôi anh ơi, vì cũng không quan trọng nữa</t>
  </si>
  <si>
    <t>BỒI THƯỜNG</t>
  </si>
  <si>
    <t>Vinhome</t>
  </si>
  <si>
    <r>
      <rPr>
        <sz val="8"/>
        <color rgb="FF000000"/>
        <rFont val="Arial"/>
      </rPr>
      <t xml:space="preserve">Dữ liệu </t>
    </r>
    <r>
      <rPr>
        <b/>
        <sz val="8"/>
        <color rgb="FF000000"/>
        <rFont val="Arial"/>
      </rPr>
      <t xml:space="preserve">"Đơn vị/ địa điểm" </t>
    </r>
    <r>
      <rPr>
        <sz val="8"/>
        <color rgb="FF000000"/>
        <rFont val="Arial"/>
      </rPr>
      <t>không tồn tại. Bên Vĩ đang hoàn thiện lại file import</t>
    </r>
  </si>
  <si>
    <t xml:space="preserve">(Updated 30.Dec from Vy) Files/folders để BeeVN tự import thủ công </t>
  </si>
  <si>
    <t>Vincom</t>
  </si>
  <si>
    <t>Vinpearl</t>
  </si>
  <si>
    <t>Tài liệu tham khảo</t>
  </si>
  <si>
    <t>Tài liệu</t>
  </si>
  <si>
    <t>Link tham khảo</t>
  </si>
  <si>
    <t>Date</t>
  </si>
  <si>
    <t>Ghi chú</t>
  </si>
  <si>
    <t>File "theo dõi cấp đơn - ver 2"</t>
  </si>
  <si>
    <t>https://docs.google.com/spreadsheets/d/1wMJc5jKS5w9EX5MtITr5xc2JEOGFd3qw/edit?gid=1669244827#gid=1669244827</t>
  </si>
  <si>
    <t>12.12.2025</t>
  </si>
  <si>
    <t>(From Vỹ 12.12.2025)
Sau khi xem lại data thì em thấy đang có 2 vấn đề sau:
1.	Có 2-3 loại hình bảo hiểm nhưng chỉ có 1 STBH + Tỷ lệ phí -&gt; Highlight Vàng
2.	Thiếu dữ liệu bao gồm: Tỷ lệ phí, số tiền bảo hiểm, ngày bắt đầu, ngày kết thúc -&gt; Highlight Đỏ
Em đã yêu cầu phía BeeVN clean lại data cụ thể như sau (làm trước năm 2025)
1.	Đối với Vàng -&gt; Bổ sung Số tiền bảo hiểm &amp; Tỷ lệ phí cho GĐKD và hoặc CTDD (create new rows below, nhưng vẫn thuộc 1 đơn)
2.	Đối với Đỏ:
a.	Bổ sung những thông tin còn thiếu nếu có dữ liệu
b.	Một vài đơn (toàn cầu, không phải ở Việt Nam) không có tỷ lệ phí cụ thể -&gt; Giải pháp là lấy Phí bảo hiểm / Số tiền bảo hiểm -&gt; tạo ra Tỷ lệ phí để lưu trong hệ thống.
Thực ra đối với đơn Vincom vần còn một chút phức tạp (VD: 1 Hợp đồng 26 TTTM sẽ có 26 PLHĐ đính kèm nữa), nhưng phần đó tính sau ạ.</t>
  </si>
  <si>
    <t>File "Tổng hợp theo dõi cấp đơn 2022-2025_[first-data-migration]"</t>
  </si>
  <si>
    <t>https://docs.google.com/spreadsheets/d/1oX6x5XFaG6OCWbU9CB7hpG9TPYCFVbJA/edit?usp=sharing&amp;ouid=108710283726665877055&amp;rtpof=true&amp;sd=true</t>
  </si>
  <si>
    <t>8.12.2025</t>
  </si>
  <si>
    <t xml:space="preserve">(From Vỹ 8.12.2025)
Em gửi tiếp file tổng hợp theo dõi Cấp đơn (2023, 2024, 2025). Ngày mai em sẽ gửi nốt 1 folder lưu trữ Hợp đồng bảo hiểm (bản word + bản scan) tương ứng với file tổng hợp cấp đơn bên trên. </t>
  </si>
  <si>
    <t>File "dữ liệu claims.zip"</t>
  </si>
  <si>
    <t>File .zip via email</t>
  </si>
  <si>
    <t xml:space="preserve">(From Vỹ 8.12.2025)
Em gửi trước dữ liệu xử lý Bồi thường nhé!
Anh @Ken Le (Vinova) thử đối chiếu lại file Tổng hợp với các file còn lại xem có khớp không nhé ạ.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</si>
</sst>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010000]d/m/yyyy;@"/>
  </numFmts>
  <fonts count="12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sz val="8"/>
      <color rgb="FF0000FF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Arial"/>
      <family val="2"/>
    </font>
    <font>
      <sz val="8"/>
      <color rgb="FF000000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33559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 tint="0.499984740745262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6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/>
    </xf>
    <xf numFmtId="0" fontId="1" fillId="3" borderId="1" xfId="0" quotePrefix="1" applyFont="1" applyFill="1" applyBorder="1" applyAlignment="1">
      <alignment vertical="top"/>
    </xf>
    <xf numFmtId="9" fontId="4" fillId="3" borderId="1" xfId="0" applyNumberFormat="1" applyFont="1" applyFill="1" applyBorder="1" applyAlignment="1">
      <alignment horizontal="left" vertical="top"/>
    </xf>
    <xf numFmtId="9" fontId="9" fillId="0" borderId="1" xfId="1" applyNumberFormat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left" vertical="center" wrapText="1"/>
    </xf>
    <xf numFmtId="0" fontId="1" fillId="3" borderId="1" xfId="0" quotePrefix="1" applyFont="1" applyFill="1" applyBorder="1" applyAlignment="1">
      <alignment horizontal="left" vertical="center" wrapText="1"/>
    </xf>
    <xf numFmtId="9" fontId="4" fillId="3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top"/>
    </xf>
    <xf numFmtId="164" fontId="1" fillId="0" borderId="1" xfId="0" applyNumberFormat="1" applyFont="1" applyBorder="1" applyAlignment="1">
      <alignment vertical="top"/>
    </xf>
    <xf numFmtId="0" fontId="1" fillId="0" borderId="0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vertical="top"/>
    </xf>
    <xf numFmtId="0" fontId="1" fillId="0" borderId="3" xfId="0" applyFont="1" applyBorder="1" applyAlignment="1">
      <alignment horizontal="left" vertical="top"/>
    </xf>
    <xf numFmtId="0" fontId="1" fillId="0" borderId="5" xfId="0" applyFont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4" borderId="4" xfId="0" applyFont="1" applyFill="1" applyBorder="1" applyAlignment="1">
      <alignment vertical="top"/>
    </xf>
    <xf numFmtId="0" fontId="6" fillId="4" borderId="7" xfId="0" applyFont="1" applyFill="1" applyBorder="1" applyAlignment="1">
      <alignment vertical="top"/>
    </xf>
    <xf numFmtId="0" fontId="6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2" fillId="5" borderId="0" xfId="0" applyFont="1" applyFill="1" applyAlignment="1">
      <alignment vertical="top"/>
    </xf>
    <xf numFmtId="0" fontId="1" fillId="0" borderId="8" xfId="0" quotePrefix="1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3" xfId="0" applyFont="1" applyFill="1" applyBorder="1" applyAlignment="1">
      <alignment vertical="top" wrapText="1"/>
    </xf>
    <xf numFmtId="0" fontId="1" fillId="3" borderId="4" xfId="0" quotePrefix="1" applyFont="1" applyFill="1" applyBorder="1" applyAlignment="1">
      <alignment vertical="top"/>
    </xf>
    <xf numFmtId="0" fontId="10" fillId="0" borderId="6" xfId="0" applyNumberFormat="1" applyFont="1" applyBorder="1" applyAlignment="1">
      <alignment horizontal="left" vertical="top" wrapText="1"/>
    </xf>
    <xf numFmtId="0" fontId="1" fillId="0" borderId="0" xfId="0" quotePrefix="1" applyFont="1"/>
    <xf numFmtId="9" fontId="1" fillId="0" borderId="1" xfId="0" quotePrefix="1" applyNumberFormat="1" applyFont="1" applyBorder="1" applyAlignment="1">
      <alignment horizontal="left" vertical="top" wrapText="1"/>
    </xf>
    <xf numFmtId="0" fontId="6" fillId="6" borderId="1" xfId="0" applyFont="1" applyFill="1" applyBorder="1" applyAlignment="1">
      <alignment vertical="top"/>
    </xf>
    <xf numFmtId="0" fontId="6" fillId="6" borderId="5" xfId="0" applyFont="1" applyFill="1" applyBorder="1" applyAlignment="1">
      <alignment vertical="top"/>
    </xf>
    <xf numFmtId="0" fontId="1" fillId="0" borderId="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98658"/>
        <name val="Arial"/>
        <family val="2"/>
        <scheme val="none"/>
      </font>
      <numFmt numFmtId="1" formatCode="0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98658"/>
        <name val="Arial"/>
        <family val="2"/>
        <scheme val="none"/>
      </font>
      <numFmt numFmtId="1" formatCode="0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98658"/>
        <name val="Arial"/>
        <family val="2"/>
        <scheme val="none"/>
      </font>
      <numFmt numFmtId="1" formatCode="0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theme="1" tint="0.499984740745262"/>
        </top>
      </border>
    </dxf>
    <dxf>
      <border outline="0">
        <bottom style="thin">
          <color theme="1" tint="0.499984740745262"/>
        </bottom>
      </border>
    </dxf>
    <dxf>
      <border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fill>
        <patternFill patternType="solid">
          <fgColor indexed="64"/>
          <bgColor rgb="FF335593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6"/>
          <bgColor theme="6"/>
        </patternFill>
      </fill>
    </dxf>
  </dxfs>
  <tableStyles count="6" defaultTableStyle="TableStyleMedium9" defaultPivotStyle="PivotStyleLight16">
    <tableStyle name="Data-Setting-style" pivot="0" count="3" xr9:uid="{4B45045E-69E0-4519-98F5-E409C16A6FC7}">
      <tableStyleElement type="headerRow" dxfId="29"/>
      <tableStyleElement type="firstRowStripe" dxfId="28"/>
      <tableStyleElement type="secondRowStripe" dxfId="27"/>
    </tableStyle>
    <tableStyle name="Data-Setting-style 2" pivot="0" count="3" xr9:uid="{F12F8E63-734F-49D8-85F7-79F1FD57249B}">
      <tableStyleElement type="headerRow" dxfId="26"/>
      <tableStyleElement type="firstRowStripe" dxfId="25"/>
      <tableStyleElement type="secondRowStripe" dxfId="24"/>
    </tableStyle>
    <tableStyle name="Data-Setting-style 2 2" pivot="0" count="3" xr9:uid="{79E30646-064A-4E6E-8C9F-57538C0B5892}">
      <tableStyleElement type="headerRow" dxfId="23"/>
      <tableStyleElement type="firstRowStripe" dxfId="22"/>
      <tableStyleElement type="secondRowStripe" dxfId="21"/>
    </tableStyle>
    <tableStyle name="Data-Setting-style 3" pivot="0" count="3" xr9:uid="{748AF462-EF03-40A7-AD83-8E24EFF3BFE6}">
      <tableStyleElement type="headerRow" dxfId="20"/>
      <tableStyleElement type="firstRowStripe" dxfId="19"/>
      <tableStyleElement type="secondRowStripe" dxfId="18"/>
    </tableStyle>
    <tableStyle name="RAWDATA-TS-style" pivot="0" count="3" xr9:uid="{2BC226EA-1B29-412A-A5BA-A90EEF355ED0}">
      <tableStyleElement type="headerRow" dxfId="17"/>
      <tableStyleElement type="firstRowStripe" dxfId="16"/>
      <tableStyleElement type="secondRowStripe" dxfId="15"/>
    </tableStyle>
    <tableStyle name="RAWDATA-TS-style 2" pivot="0" count="3" xr9:uid="{3DB890DF-76BD-40EB-A90C-3ADC90244373}">
      <tableStyleElement type="headerRow" dxfId="14"/>
      <tableStyleElement type="firstRowStripe" dxfId="13"/>
      <tableStyleElement type="secondRowStripe" dxfId="12"/>
    </tableStyle>
  </tableStyles>
  <colors>
    <mruColors>
      <color rgb="FF0000FF"/>
      <color rgb="FFFFFFCC"/>
      <color rgb="FF0099CC"/>
      <color rgb="FF9933FF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C62195-1492-48C3-9A25-D40910867F76}" name="Table1" displayName="Table1" ref="B16:H19" totalsRowShown="0" headerRowDxfId="11" dataDxfId="10" headerRowBorderDxfId="8" tableBorderDxfId="9" totalsRowBorderDxfId="7">
  <autoFilter ref="B16:H19" xr:uid="{10C62195-1492-48C3-9A25-D40910867F76}"/>
  <tableColumns count="7">
    <tableColumn id="1" xr3:uid="{F22ACD13-12EF-47CF-AAB3-D828F2560824}" name="Năm" dataDxfId="6"/>
    <tableColumn id="2" xr3:uid="{73168405-ED2B-48A0-8DBB-33345076010B}" name="Tổng số row" dataDxfId="5"/>
    <tableColumn id="4" xr3:uid="{732B6FF2-B5BF-4A61-A601-86507F32F389}" name="Dữ liệu đã hoàn thành" dataDxfId="4"/>
    <tableColumn id="11" xr3:uid="{55811960-6586-4B01-9D8D-0B1B7C7E0634}" name="Dữ liệu chưa hoàn thành" dataDxfId="3">
      <calculatedColumnFormula>Table1[[#This Row],[Tổng số row]]-Table1[[#This Row],[Dữ liệu đã hoàn thành]]</calculatedColumnFormula>
    </tableColumn>
    <tableColumn id="8" xr3:uid="{C72D5737-233E-4278-AA5A-F54DA6FA1A2D}" name="Đề xuất (nếu có)" dataDxfId="2"/>
    <tableColumn id="5" xr3:uid="{1F4CD217-430D-4D75-8032-3B580836A25E}" name="Cần hỗ trợ" dataDxfId="1"/>
    <tableColumn id="6" xr3:uid="{9C87B844-6774-418C-946D-797C986DAEBF}" name="Hạn địn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oX6x5XFaG6OCWbU9CB7hpG9TPYCFVbJA/edit?usp=sharing&amp;ouid=108710283726665877055&amp;rtpof=true&amp;sd=true" TargetMode="External"/><Relationship Id="rId1" Type="http://schemas.openxmlformats.org/officeDocument/2006/relationships/hyperlink" Target="https://docs.google.com/spreadsheets/d/1wMJc5jKS5w9EX5MtITr5xc2JEOGFd3qw/edit?gid=16692448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735C-D672-4722-84DC-161CEB64ABD0}">
  <dimension ref="A1:H20"/>
  <sheetViews>
    <sheetView tabSelected="1" zoomScale="145" zoomScaleNormal="145" workbookViewId="0">
      <selection activeCell="F11" sqref="F11"/>
    </sheetView>
  </sheetViews>
  <sheetFormatPr defaultColWidth="8.7109375" defaultRowHeight="11.25" customHeight="1"/>
  <cols>
    <col min="1" max="1" width="1.5703125" style="1" customWidth="1"/>
    <col min="2" max="2" width="15.5703125" style="1" customWidth="1"/>
    <col min="3" max="3" width="15.140625" style="1" customWidth="1"/>
    <col min="4" max="5" width="18.85546875" style="1" customWidth="1"/>
    <col min="6" max="6" width="44.42578125" style="1" customWidth="1"/>
    <col min="7" max="7" width="49.5703125" style="1" customWidth="1"/>
    <col min="8" max="8" width="11.7109375" style="1" customWidth="1"/>
    <col min="9" max="9" width="14.140625" style="1" customWidth="1"/>
    <col min="10" max="16384" width="8.7109375" style="1"/>
  </cols>
  <sheetData>
    <row r="1" spans="1:8" ht="18">
      <c r="B1" s="2" t="s">
        <v>0</v>
      </c>
      <c r="C1" s="3"/>
      <c r="D1" s="4"/>
      <c r="E1" s="4"/>
      <c r="F1" s="4"/>
    </row>
    <row r="2" spans="1:8" ht="20.25">
      <c r="B2" s="6" t="s">
        <v>1</v>
      </c>
      <c r="C2" s="6"/>
      <c r="D2" s="6"/>
      <c r="E2" s="6"/>
      <c r="F2" s="6"/>
    </row>
    <row r="3" spans="1:8">
      <c r="B3" s="22" t="s">
        <v>2</v>
      </c>
      <c r="C3" s="23" t="s">
        <v>3</v>
      </c>
      <c r="D3" s="6"/>
      <c r="E3" s="6"/>
      <c r="F3" s="6"/>
      <c r="G3" s="8"/>
    </row>
    <row r="4" spans="1:8" ht="30" customHeight="1">
      <c r="B4" s="22" t="s">
        <v>4</v>
      </c>
      <c r="C4" s="42" t="s">
        <v>5</v>
      </c>
      <c r="D4" s="42"/>
      <c r="E4" s="21"/>
      <c r="F4" s="21"/>
      <c r="G4" s="8"/>
    </row>
    <row r="5" spans="1:8">
      <c r="B5" s="8"/>
      <c r="C5" s="8"/>
      <c r="D5" s="8"/>
      <c r="E5" s="8"/>
      <c r="F5" s="8"/>
      <c r="G5" s="8"/>
    </row>
    <row r="6" spans="1:8">
      <c r="B6" s="8"/>
      <c r="C6" s="8"/>
      <c r="D6" s="8"/>
      <c r="E6" s="8"/>
      <c r="F6" s="8"/>
      <c r="G6" s="8"/>
    </row>
    <row r="7" spans="1:8">
      <c r="B7" s="31" t="s">
        <v>6</v>
      </c>
      <c r="C7" s="8"/>
      <c r="D7" s="8"/>
      <c r="E7" s="8"/>
      <c r="F7" s="8"/>
      <c r="G7" s="8"/>
    </row>
    <row r="8" spans="1:8" ht="20.25">
      <c r="B8" s="7" t="s">
        <v>7</v>
      </c>
      <c r="C8" s="7" t="s">
        <v>8</v>
      </c>
      <c r="D8" s="40" t="s">
        <v>9</v>
      </c>
      <c r="E8" s="28" t="s">
        <v>10</v>
      </c>
      <c r="F8" s="7" t="s">
        <v>11</v>
      </c>
      <c r="G8" s="25" t="s">
        <v>12</v>
      </c>
      <c r="H8" s="25" t="s">
        <v>13</v>
      </c>
    </row>
    <row r="9" spans="1:8" ht="41.25">
      <c r="A9" s="38" t="s">
        <v>14</v>
      </c>
      <c r="B9" s="10" t="s">
        <v>15</v>
      </c>
      <c r="C9" s="19">
        <v>297</v>
      </c>
      <c r="D9" s="19">
        <v>278</v>
      </c>
      <c r="E9" s="19">
        <f>C9-D9</f>
        <v>19</v>
      </c>
      <c r="F9" s="39" t="s">
        <v>16</v>
      </c>
      <c r="G9" s="30" t="s">
        <v>17</v>
      </c>
      <c r="H9" s="20">
        <v>46042</v>
      </c>
    </row>
    <row r="10" spans="1:8" ht="41.25">
      <c r="B10" s="10" t="s">
        <v>18</v>
      </c>
      <c r="C10" s="19">
        <v>248</v>
      </c>
      <c r="D10" s="19">
        <v>239</v>
      </c>
      <c r="E10" s="19">
        <f t="shared" ref="E10:E11" si="0">C10-D10</f>
        <v>9</v>
      </c>
      <c r="F10" s="39" t="s">
        <v>16</v>
      </c>
      <c r="G10" s="30" t="s">
        <v>17</v>
      </c>
      <c r="H10" s="20">
        <v>46042</v>
      </c>
    </row>
    <row r="11" spans="1:8" ht="41.25">
      <c r="B11" s="10" t="s">
        <v>19</v>
      </c>
      <c r="C11" s="19">
        <v>256</v>
      </c>
      <c r="D11" s="19">
        <v>219</v>
      </c>
      <c r="E11" s="19">
        <f t="shared" si="0"/>
        <v>37</v>
      </c>
      <c r="F11" s="39" t="s">
        <v>16</v>
      </c>
      <c r="G11" s="30" t="s">
        <v>20</v>
      </c>
      <c r="H11" s="20">
        <v>46042</v>
      </c>
    </row>
    <row r="12" spans="1:8">
      <c r="B12" s="11"/>
      <c r="C12" s="12"/>
      <c r="D12" s="12"/>
      <c r="E12" s="12"/>
      <c r="F12" s="12"/>
      <c r="G12" s="12"/>
      <c r="H12" s="12"/>
    </row>
    <row r="13" spans="1:8">
      <c r="B13" s="24"/>
      <c r="C13" s="24"/>
      <c r="D13" s="8"/>
      <c r="E13" s="8"/>
      <c r="F13" s="8"/>
      <c r="G13" s="8"/>
      <c r="H13" s="8"/>
    </row>
    <row r="14" spans="1:8">
      <c r="B14" s="24"/>
      <c r="C14" s="24"/>
      <c r="D14" s="8"/>
      <c r="E14" s="8"/>
      <c r="F14" s="8"/>
      <c r="G14" s="8"/>
      <c r="H14" s="8"/>
    </row>
    <row r="15" spans="1:8">
      <c r="B15" s="29" t="s">
        <v>21</v>
      </c>
      <c r="C15" s="9"/>
      <c r="D15" s="9"/>
      <c r="E15" s="9"/>
      <c r="F15" s="9"/>
      <c r="G15" s="9"/>
      <c r="H15" s="9"/>
    </row>
    <row r="16" spans="1:8" ht="20.25">
      <c r="B16" s="33" t="s">
        <v>7</v>
      </c>
      <c r="C16" s="34" t="s">
        <v>8</v>
      </c>
      <c r="D16" s="41" t="s">
        <v>9</v>
      </c>
      <c r="E16" s="35" t="s">
        <v>10</v>
      </c>
      <c r="F16" s="7" t="s">
        <v>11</v>
      </c>
      <c r="G16" s="26" t="s">
        <v>12</v>
      </c>
      <c r="H16" s="27" t="s">
        <v>13</v>
      </c>
    </row>
    <row r="17" spans="2:8" ht="20.25">
      <c r="B17" s="32" t="s">
        <v>22</v>
      </c>
      <c r="C17" s="19">
        <v>757</v>
      </c>
      <c r="D17" s="19">
        <v>142</v>
      </c>
      <c r="E17" s="19">
        <f>Table1[[#This Row],[Tổng số row]]-Table1[[#This Row],[Dữ liệu đã hoàn thành]]</f>
        <v>615</v>
      </c>
      <c r="F17" s="37" t="s">
        <v>23</v>
      </c>
      <c r="G17" s="30" t="s">
        <v>24</v>
      </c>
      <c r="H17" s="20">
        <v>46042</v>
      </c>
    </row>
    <row r="18" spans="2:8" ht="20.25">
      <c r="B18" s="32" t="s">
        <v>25</v>
      </c>
      <c r="C18" s="19">
        <v>924</v>
      </c>
      <c r="D18" s="19">
        <v>0</v>
      </c>
      <c r="E18" s="19">
        <f>Table1[[#This Row],[Tổng số row]]-Table1[[#This Row],[Dữ liệu đã hoàn thành]]</f>
        <v>924</v>
      </c>
      <c r="F18" s="37" t="s">
        <v>23</v>
      </c>
      <c r="G18" s="30" t="s">
        <v>24</v>
      </c>
      <c r="H18" s="20">
        <v>46042</v>
      </c>
    </row>
    <row r="19" spans="2:8" ht="20.25">
      <c r="B19" s="32" t="s">
        <v>26</v>
      </c>
      <c r="C19" s="19">
        <v>806</v>
      </c>
      <c r="D19" s="19">
        <v>109</v>
      </c>
      <c r="E19" s="19">
        <f>Table1[[#This Row],[Tổng số row]]-Table1[[#This Row],[Dữ liệu đã hoàn thành]]</f>
        <v>697</v>
      </c>
      <c r="F19" s="37" t="s">
        <v>23</v>
      </c>
      <c r="G19" s="30" t="s">
        <v>24</v>
      </c>
      <c r="H19" s="20">
        <v>46042</v>
      </c>
    </row>
    <row r="20" spans="2:8">
      <c r="B20" s="36"/>
      <c r="C20" s="36"/>
      <c r="D20" s="36"/>
      <c r="E20" s="36"/>
      <c r="F20" s="11"/>
      <c r="G20" s="11"/>
      <c r="H20" s="11"/>
    </row>
  </sheetData>
  <mergeCells count="1">
    <mergeCell ref="C4:D4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AE7D-5573-4677-AE15-F1F2F8601737}">
  <dimension ref="B1:E9"/>
  <sheetViews>
    <sheetView zoomScale="145" zoomScaleNormal="145" workbookViewId="0">
      <selection activeCell="D50" sqref="D50"/>
    </sheetView>
  </sheetViews>
  <sheetFormatPr defaultColWidth="8.7109375" defaultRowHeight="9.9499999999999993"/>
  <cols>
    <col min="1" max="1" width="1.5703125" style="1" customWidth="1"/>
    <col min="2" max="2" width="20.5703125" style="1" customWidth="1"/>
    <col min="3" max="3" width="43.85546875" style="1" customWidth="1"/>
    <col min="4" max="4" width="12" style="1" customWidth="1"/>
    <col min="5" max="5" width="73.140625" style="1" customWidth="1"/>
    <col min="6" max="6" width="23.85546875" style="1" customWidth="1"/>
    <col min="7" max="7" width="17.140625" style="1" customWidth="1"/>
    <col min="8" max="8" width="14.140625" style="1" customWidth="1"/>
    <col min="9" max="16384" width="8.7109375" style="1"/>
  </cols>
  <sheetData>
    <row r="1" spans="2:5" ht="18">
      <c r="B1" s="2" t="s">
        <v>27</v>
      </c>
      <c r="C1" s="3"/>
      <c r="D1" s="3"/>
      <c r="E1" s="3"/>
    </row>
    <row r="2" spans="2:5">
      <c r="B2" s="5"/>
      <c r="C2" s="6"/>
      <c r="D2" s="6"/>
      <c r="E2" s="6"/>
    </row>
    <row r="3" spans="2:5">
      <c r="B3" s="8" t="s">
        <v>6</v>
      </c>
      <c r="C3" s="8"/>
      <c r="D3" s="8"/>
      <c r="E3" s="8"/>
    </row>
    <row r="4" spans="2:5" ht="10.5">
      <c r="B4" s="7" t="s">
        <v>28</v>
      </c>
      <c r="C4" s="7" t="s">
        <v>29</v>
      </c>
      <c r="D4" s="7" t="s">
        <v>30</v>
      </c>
      <c r="E4" s="7" t="s">
        <v>31</v>
      </c>
    </row>
    <row r="5" spans="2:5" ht="150">
      <c r="B5" s="14" t="s">
        <v>32</v>
      </c>
      <c r="C5" s="13" t="s">
        <v>33</v>
      </c>
      <c r="D5" s="18" t="s">
        <v>34</v>
      </c>
      <c r="E5" s="15" t="s">
        <v>35</v>
      </c>
    </row>
    <row r="6" spans="2:5" ht="30">
      <c r="B6" s="14" t="s">
        <v>36</v>
      </c>
      <c r="C6" s="13" t="s">
        <v>37</v>
      </c>
      <c r="D6" s="18" t="s">
        <v>38</v>
      </c>
      <c r="E6" s="15" t="s">
        <v>39</v>
      </c>
    </row>
    <row r="7" spans="2:5" ht="30">
      <c r="B7" s="14" t="s">
        <v>40</v>
      </c>
      <c r="C7" s="15" t="s">
        <v>41</v>
      </c>
      <c r="D7" s="18" t="s">
        <v>38</v>
      </c>
      <c r="E7" s="15" t="s">
        <v>42</v>
      </c>
    </row>
    <row r="8" spans="2:5">
      <c r="B8" s="14"/>
      <c r="C8" s="15"/>
      <c r="D8" s="15"/>
      <c r="E8" s="15"/>
    </row>
    <row r="9" spans="2:5">
      <c r="B9" s="16"/>
      <c r="C9" s="17"/>
      <c r="D9" s="17"/>
      <c r="E9" s="17"/>
    </row>
  </sheetData>
  <hyperlinks>
    <hyperlink ref="C5" r:id="rId1" location="gid=1669244827" xr:uid="{0CDA2432-BF2A-4055-9298-08415F5845C7}"/>
    <hyperlink ref="C6" r:id="rId2" xr:uid="{1D074263-D8D3-46CB-B03A-49CDB578F0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Tony Nguyen</cp:lastModifiedBy>
  <cp:revision/>
  <dcterms:created xsi:type="dcterms:W3CDTF">2023-06-12T15:04:10Z</dcterms:created>
  <dcterms:modified xsi:type="dcterms:W3CDTF">2026-01-26T04:38:17Z</dcterms:modified>
  <cp:category/>
  <cp:contentStatus/>
</cp:coreProperties>
</file>