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54d77a9688661eb/VNV-Project/BEEOS/PM/Tony/"/>
    </mc:Choice>
  </mc:AlternateContent>
  <xr:revisionPtr revIDLastSave="15366" documentId="11_E3635A91D89360E2088FC70966A6DD3BA462BE81" xr6:coauthVersionLast="47" xr6:coauthVersionMax="47" xr10:uidLastSave="{7EC8F10D-D0C1-4383-831D-40829C1E868D}"/>
  <bookViews>
    <workbookView xWindow="19090" yWindow="-110" windowWidth="19420" windowHeight="11020" xr2:uid="{00000000-000D-0000-FFFF-FFFF00000000}"/>
  </bookViews>
  <sheets>
    <sheet name="W2-21.Nov" sheetId="1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9" l="1"/>
  <c r="D20" i="19" s="1"/>
  <c r="E18" i="19"/>
  <c r="C18" i="19"/>
  <c r="D21" i="19" l="1"/>
  <c r="E20" i="19"/>
  <c r="C20" i="19"/>
  <c r="C19" i="19"/>
  <c r="E19" i="19"/>
  <c r="D22" i="19" l="1"/>
  <c r="E21" i="19"/>
  <c r="C21" i="19"/>
  <c r="E22" i="19" l="1"/>
  <c r="D23" i="19"/>
  <c r="C22" i="19"/>
  <c r="D24" i="19" l="1"/>
  <c r="E23" i="19"/>
  <c r="C23" i="19"/>
  <c r="D25" i="19" l="1"/>
  <c r="E24" i="19"/>
  <c r="C24" i="19"/>
  <c r="D26" i="19" l="1"/>
  <c r="E25" i="19"/>
  <c r="C25" i="19"/>
  <c r="E26" i="19" l="1"/>
  <c r="C26" i="19"/>
  <c r="D27" i="19"/>
  <c r="D28" i="19" l="1"/>
  <c r="E27" i="19"/>
  <c r="C27" i="19"/>
  <c r="C28" i="19" l="1"/>
  <c r="D29" i="19"/>
  <c r="E28" i="19"/>
  <c r="D30" i="19" l="1"/>
  <c r="E29" i="19"/>
  <c r="C29" i="19"/>
  <c r="E30" i="19" l="1"/>
  <c r="C30" i="19"/>
</calcChain>
</file>

<file path=xl/sharedStrings.xml><?xml version="1.0" encoding="utf-8"?>
<sst xmlns="http://schemas.openxmlformats.org/spreadsheetml/2006/main" count="52" uniqueCount="40">
  <si>
    <t>Development</t>
  </si>
  <si>
    <t>BeeOS</t>
  </si>
  <si>
    <t>% hoàn thành</t>
  </si>
  <si>
    <t>Requirement + Design</t>
  </si>
  <si>
    <t>Tuần</t>
  </si>
  <si>
    <t>Tên dự án</t>
  </si>
  <si>
    <t>Thời gian thực hiện</t>
  </si>
  <si>
    <t>10.11.2025</t>
  </si>
  <si>
    <t>12.02.2026</t>
  </si>
  <si>
    <t>Trưởng dự án</t>
  </si>
  <si>
    <t>Quản lý khách hàng</t>
  </si>
  <si>
    <t>Tony (Vinova)</t>
  </si>
  <si>
    <t>Audrey (Vinova)</t>
  </si>
  <si>
    <t>Tóm lược</t>
  </si>
  <si>
    <t>Thông tin chung</t>
  </si>
  <si>
    <t>Công việc trong tuần</t>
  </si>
  <si>
    <t>Dự tính tuần tiếp theo</t>
  </si>
  <si>
    <t>Những trở ngại cần hỗ trợ</t>
  </si>
  <si>
    <t>Các mốc quan trọng</t>
  </si>
  <si>
    <t>Quản lý Rủi ro</t>
  </si>
  <si>
    <t>Xong</t>
  </si>
  <si>
    <t>Từ ngày</t>
  </si>
  <si>
    <t>Đến ngày</t>
  </si>
  <si>
    <t>Trạng thái</t>
  </si>
  <si>
    <t>Sử dụng thức tế</t>
  </si>
  <si>
    <t>Links tham khảo thêm</t>
  </si>
  <si>
    <t>Chờ đến lượt</t>
  </si>
  <si>
    <t>Đang tiến hành</t>
  </si>
  <si>
    <t>BeeOS - Báo cáo - Tuần 2</t>
  </si>
  <si>
    <t>17.11.2025</t>
  </si>
  <si>
    <t>21.11.2025</t>
  </si>
  <si>
    <r>
      <t>Rủi ro #1: Di dời dữ liệu cũ (data migration): Có thể sẽ mất nhiều thời gian nghiên cứu và không đáp ứng di dời được hết toàn bộ dữ liệu cũ.
  + (Xong) BeeVN đã cung cấp file excels (tổng hợp theo dõi cấp đơn (mock), theo dõi trạng thái bồi thường (mock)) và files/folders để team tham khảo.
&gt;&gt;&gt; (</t>
    </r>
    <r>
      <rPr>
        <sz val="8"/>
        <color rgb="FF0000FF"/>
        <rFont val="Arial"/>
        <family val="2"/>
      </rPr>
      <t>Đang theo dõi</t>
    </r>
    <r>
      <rPr>
        <sz val="8"/>
        <color theme="1"/>
        <rFont val="Arial"/>
        <family val="2"/>
      </rPr>
      <t>) Team cần nghiên cứu đưa giải pháp và cho biết % có thể di dời qua hệ thống mới.(bao gồm di dời files/folders.
Rủi ro #2: 1 số yêu cầu mới vẫn có thể phát sinh trong quá trình làm rõ yêu cầu và giai đoạn lập trình dấn đến ảnh hưởng đến tiến độ dự án.
&gt;&gt;&gt; (</t>
    </r>
    <r>
      <rPr>
        <sz val="8"/>
        <color rgb="FF0000FF"/>
        <rFont val="Arial"/>
        <family val="2"/>
      </rPr>
      <t>Đang theo dõi</t>
    </r>
    <r>
      <rPr>
        <sz val="8"/>
        <color theme="1"/>
        <rFont val="Arial"/>
        <family val="2"/>
      </rPr>
      <t>) Team và BeeVN cần thống nhất danh sách công việc trước. Nếu có yêu cầu phát sinh sẽ cùng thảo luận từng trường hợp củ thể.
Rủi ro #3: Hiện tại team đang chỉ làm việc và trao đổi với 1 người duy nhất bên BeeVN (Vỹ), sau khi bàn giao từng tính năng liên tục, nếu có những người khác vào sử dụng có thể phát sinh yêu cầu thay đổi nếu phải đáp ứng sẽ ảnh hưởng đến tiến độ dự án.
&gt;&gt;&gt; (</t>
    </r>
    <r>
      <rPr>
        <sz val="8"/>
        <color rgb="FF0000FF"/>
        <rFont val="Arial"/>
        <family val="2"/>
      </rPr>
      <t>Đang theo dõi</t>
    </r>
    <r>
      <rPr>
        <sz val="8"/>
        <color theme="1"/>
        <rFont val="Arial"/>
        <family val="2"/>
      </rPr>
      <t>) Team và BeeVN cần thống nhất Vỹ (BeeVN) sẽ là người đại diện nghiệm thu duy nhất.</t>
    </r>
  </si>
  <si>
    <t>1. Cần thảo luận và thống nhất thiết kế giao diện (design) của bảng điều khiển, responsive mobile và những tính năng bổ trợ khác càng nhanh càng tốt.
2. Team tiếp tục nghiên cứu hồ sơ dữ liệu những năm cũ chuẩn bị cho việc di dời dữ liệu cũ qua hệ thống mới (dữ liệu lưu trong database, dữ liệu file/folder)</t>
  </si>
  <si>
    <t>Tài liệu đặc tả yêu cầu (BRD)</t>
  </si>
  <si>
    <t>Danh sách tính năng trong phạm vi MVP (Scope baseline)</t>
  </si>
  <si>
    <r>
      <rPr>
        <b/>
        <sz val="8"/>
        <color theme="1"/>
        <rFont val="Arial"/>
        <family val="2"/>
      </rPr>
      <t>Phần 1: Phân tích yêu cầu (Requirement)</t>
    </r>
    <r>
      <rPr>
        <sz val="8"/>
        <color theme="1"/>
        <rFont val="Arial"/>
        <family val="2"/>
      </rPr>
      <t xml:space="preserve">
- Tiếp tục cập nhật, bổ xung tài liệu BRD (Business requirement document) để làm rõ thêm nếu cần.
- Làm rõ yêu cầu nghiệp vụ, transfer cho team, và tạo JIRA ticket liên quan cho team thực hiện lập trình. Tập trung 2 tính năng:
  </t>
    </r>
    <r>
      <rPr>
        <sz val="8"/>
        <color rgb="FF0000FF"/>
        <rFont val="Arial"/>
        <family val="2"/>
      </rPr>
      <t>+ (Underwriter) luồng cấp đơn (4 bước)
  +  (Leader) Danh sách phê duyệt</t>
    </r>
    <r>
      <rPr>
        <sz val="8"/>
        <color theme="1"/>
        <rFont val="Arial"/>
        <family val="2"/>
      </rPr>
      <t xml:space="preserve"> 
</t>
    </r>
    <r>
      <rPr>
        <b/>
        <sz val="8"/>
        <color theme="1"/>
        <rFont val="Arial"/>
        <family val="2"/>
      </rPr>
      <t>Phần 2: Thiết kế giao diện (Design)</t>
    </r>
    <r>
      <rPr>
        <sz val="8"/>
        <color theme="1"/>
        <rFont val="Arial"/>
        <family val="2"/>
      </rPr>
      <t xml:space="preserve">
- Chỉnh sửa theo yêu cầu thay đổi từ BeeVN (nếu có) liên quan:
  + (Chờ BeeVN review và xác nhận) Đã bổ xung 1 số phần cập nhật của luồng cấp đơn và phê duyệt.
  + (Chờ BeeVN review và xác nhận) Đã thiết kế bảng điều khiển cấp đơn, bồi thường.
  + (Chờ BeeVN review và xác nhận) Đã thiết kế mobile responsive cho trang Leader phê duyệt trên mobile.
- (Tiếp tục) Thiết kế cho những tính năng bổ trợ khác (như nhắc nhở, quản lý loại hình bảo hiểm, ...)
</t>
    </r>
    <r>
      <rPr>
        <b/>
        <sz val="8"/>
        <color theme="1"/>
        <rFont val="Arial"/>
        <family val="2"/>
      </rPr>
      <t>Phần 3: Lập trình</t>
    </r>
    <r>
      <rPr>
        <sz val="8"/>
        <color theme="1"/>
        <rFont val="Arial"/>
        <family val="2"/>
      </rPr>
      <t xml:space="preserve">
- Tiến hành implement 2 tính năng:
  </t>
    </r>
    <r>
      <rPr>
        <sz val="8"/>
        <color rgb="FF0000FF"/>
        <rFont val="Arial"/>
        <family val="2"/>
      </rPr>
      <t xml:space="preserve">+ (Underwriter) luồng cấp đơn (4 bước)
  + (Leader) Danh sách phê duyệt </t>
    </r>
  </si>
  <si>
    <t>Sẽ chia sẻ đường link qua email</t>
  </si>
  <si>
    <t>Ghi chú: 
- Tuần thứ 2 trong giai đoạn phân tích yêu cầu và thiết kế giao diện.
- Team đã setup xong phần code cơ sở (codebase), đang tiếp tục thiết kế database cho những tính năng liên quan, đã setup 2 môi trường chuẩn bị kiểm thừ tich hợp.
  + Dev: dành cho team lập trình.
  + STAG: dành cho BeeVN vào thực hành (hiện đang chưa có dữ liệu)</t>
  </si>
  <si>
    <t>Thử nghiệm</t>
  </si>
  <si>
    <r>
      <rPr>
        <b/>
        <sz val="8"/>
        <color theme="1"/>
        <rFont val="Arial"/>
        <family val="2"/>
      </rPr>
      <t>Phần 1: Phân tích yêu cầu (Requirement)</t>
    </r>
    <r>
      <rPr>
        <sz val="8"/>
        <color theme="1"/>
        <rFont val="Arial"/>
        <family val="2"/>
      </rPr>
      <t xml:space="preserve">
- Viết tài liệu đặc tả yêu cầu (BRD - Business requirement document).
- Lên danh sách các toàn bộ các công việc cần làm trong giai đoạn MVP này. (baseline scope)
</t>
    </r>
    <r>
      <rPr>
        <b/>
        <sz val="8"/>
        <color theme="1"/>
        <rFont val="Arial"/>
        <family val="2"/>
      </rPr>
      <t>Phần 2: Thiết kế giao diện (Design)</t>
    </r>
    <r>
      <rPr>
        <sz val="8"/>
        <color theme="1"/>
        <rFont val="Arial"/>
        <family val="2"/>
      </rPr>
      <t xml:space="preserve">
- Hoàn thành luồng cấp đơn &amp; phê duyệt.
- Hoàn thành luồng bồi thường.
- (Chờ BeeVN review và xác nhận) Đã bổ xung 1 số phần cập nhật của luồng cấp đơn và phê duyệt.
- (Chờ BeeVN review và xác nhận) Đã thiết kế bảng điều khiển cấp đơn, bồi thường.
- (Chờ BeeVN review và xác nhận) Đã thiết kế mobile responsive cho trang Leader phê duyệt trên mobile.
</t>
    </r>
    <r>
      <rPr>
        <b/>
        <sz val="8"/>
        <color theme="1"/>
        <rFont val="Arial"/>
        <family val="2"/>
      </rPr>
      <t>Phần 3: Lập trình</t>
    </r>
    <r>
      <rPr>
        <sz val="8"/>
        <color theme="1"/>
        <rFont val="Arial"/>
        <family val="2"/>
      </rPr>
      <t xml:space="preserve">
- Hoàn thiện phần code, phân tích yêu cầu, phân chia công việc chuẩn bị tuần tới:  
  </t>
    </r>
    <r>
      <rPr>
        <sz val="8"/>
        <color rgb="FF0000FF"/>
        <rFont val="Arial"/>
        <family val="2"/>
      </rPr>
      <t xml:space="preserve">+ (Underwriter) luồng cấp đơn (4 bước)
  + (Leader) Danh sách phê duyệt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</si>
</sst>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0"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8">
    <xf numFmtId="0" fontId="0" fillId="0" borderId="0" xfId="0"/>
    <xf numFmtId="0" fontId="1" fillId="0" borderId="0" xfId="0" applyFont="1"/>
    <xf numFmtId="0" fontId="6" fillId="0" borderId="0" xfId="0" applyFont="1"/>
    <xf numFmtId="0" fontId="1" fillId="0" borderId="1" xfId="0" applyFont="1" applyBorder="1" applyAlignment="1">
      <alignment horizontal="left" vertical="top"/>
    </xf>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77ED-E02F-4E9E-8B6C-65FB7ECAC50D}">
  <dimension ref="B1:F34"/>
  <sheetViews>
    <sheetView tabSelected="1" zoomScale="130" zoomScaleNormal="130" workbookViewId="0">
      <selection activeCell="G12" sqref="G12"/>
    </sheetView>
  </sheetViews>
  <sheetFormatPr defaultRowHeight="10" x14ac:dyDescent="0.2"/>
  <cols>
    <col min="1" max="1" width="1.6328125" style="1" customWidth="1"/>
    <col min="2" max="2" width="15.6328125" style="1" customWidth="1"/>
    <col min="3" max="3" width="10.6328125" style="1" customWidth="1"/>
    <col min="4" max="4" width="18.54296875" style="1" customWidth="1"/>
    <col min="5" max="6" width="15.6328125" style="1" customWidth="1"/>
    <col min="7" max="7" width="14.1796875" style="1" customWidth="1"/>
    <col min="8" max="16384" width="8.7265625" style="1"/>
  </cols>
  <sheetData>
    <row r="1" spans="2:6" ht="18" x14ac:dyDescent="0.4">
      <c r="B1" s="2" t="s">
        <v>28</v>
      </c>
      <c r="C1" s="5"/>
      <c r="D1" s="6"/>
    </row>
    <row r="2" spans="2:6" x14ac:dyDescent="0.2">
      <c r="B2" s="7"/>
      <c r="C2" s="8"/>
      <c r="D2" s="8"/>
    </row>
    <row r="3" spans="2:6" ht="10.5" x14ac:dyDescent="0.2">
      <c r="B3" s="9" t="s">
        <v>4</v>
      </c>
      <c r="C3" s="3" t="s">
        <v>29</v>
      </c>
      <c r="D3" s="10" t="s">
        <v>30</v>
      </c>
      <c r="E3" s="11"/>
    </row>
    <row r="4" spans="2:6" ht="10.5" x14ac:dyDescent="0.2">
      <c r="B4" s="9" t="s">
        <v>5</v>
      </c>
      <c r="C4" s="12" t="s">
        <v>1</v>
      </c>
      <c r="D4" s="11"/>
      <c r="E4" s="11"/>
    </row>
    <row r="5" spans="2:6" ht="10.5" x14ac:dyDescent="0.2">
      <c r="B5" s="9" t="s">
        <v>6</v>
      </c>
      <c r="C5" s="10" t="s">
        <v>7</v>
      </c>
      <c r="D5" s="16" t="s">
        <v>8</v>
      </c>
      <c r="E5" s="11"/>
    </row>
    <row r="6" spans="2:6" ht="10.5" x14ac:dyDescent="0.2">
      <c r="B6" s="9" t="s">
        <v>9</v>
      </c>
      <c r="C6" s="12" t="s">
        <v>11</v>
      </c>
      <c r="D6" s="9" t="s">
        <v>10</v>
      </c>
      <c r="E6" s="12" t="s">
        <v>12</v>
      </c>
    </row>
    <row r="7" spans="2:6" x14ac:dyDescent="0.2">
      <c r="B7" s="11"/>
      <c r="C7" s="11"/>
      <c r="D7" s="11"/>
      <c r="E7" s="11"/>
    </row>
    <row r="8" spans="2:6" ht="10.5" x14ac:dyDescent="0.2">
      <c r="B8" s="9" t="s">
        <v>14</v>
      </c>
      <c r="C8" s="9"/>
      <c r="D8" s="9"/>
      <c r="E8" s="9"/>
      <c r="F8" s="9"/>
    </row>
    <row r="9" spans="2:6" ht="75" customHeight="1" x14ac:dyDescent="0.2">
      <c r="B9" s="17" t="s">
        <v>2</v>
      </c>
      <c r="C9" s="18">
        <v>0.02</v>
      </c>
      <c r="D9" s="23" t="s">
        <v>37</v>
      </c>
      <c r="E9" s="24"/>
      <c r="F9" s="24"/>
    </row>
    <row r="10" spans="2:6" x14ac:dyDescent="0.2">
      <c r="B10" s="12"/>
      <c r="C10" s="12"/>
      <c r="D10" s="11"/>
      <c r="E10" s="11"/>
      <c r="F10" s="11"/>
    </row>
    <row r="11" spans="2:6" ht="10.5" x14ac:dyDescent="0.2">
      <c r="B11" s="9" t="s">
        <v>13</v>
      </c>
      <c r="C11" s="9"/>
      <c r="D11" s="9"/>
      <c r="E11" s="9"/>
      <c r="F11" s="9"/>
    </row>
    <row r="12" spans="2:6" ht="189" customHeight="1" x14ac:dyDescent="0.2">
      <c r="B12" s="12" t="s">
        <v>15</v>
      </c>
      <c r="C12" s="25" t="s">
        <v>39</v>
      </c>
      <c r="D12" s="26"/>
      <c r="E12" s="26"/>
      <c r="F12" s="27"/>
    </row>
    <row r="13" spans="2:6" ht="227" customHeight="1" x14ac:dyDescent="0.2">
      <c r="B13" s="12" t="s">
        <v>16</v>
      </c>
      <c r="C13" s="25" t="s">
        <v>35</v>
      </c>
      <c r="D13" s="26"/>
      <c r="E13" s="26"/>
      <c r="F13" s="27"/>
    </row>
    <row r="14" spans="2:6" ht="51" customHeight="1" x14ac:dyDescent="0.2">
      <c r="B14" s="4" t="s">
        <v>17</v>
      </c>
      <c r="C14" s="25" t="s">
        <v>32</v>
      </c>
      <c r="D14" s="26"/>
      <c r="E14" s="26"/>
      <c r="F14" s="27"/>
    </row>
    <row r="15" spans="2:6" ht="174" customHeight="1" x14ac:dyDescent="0.2">
      <c r="B15" s="4" t="s">
        <v>19</v>
      </c>
      <c r="C15" s="25" t="s">
        <v>31</v>
      </c>
      <c r="D15" s="26"/>
      <c r="E15" s="26"/>
      <c r="F15" s="27"/>
    </row>
    <row r="16" spans="2:6" x14ac:dyDescent="0.2">
      <c r="B16" s="11"/>
      <c r="C16" s="11"/>
      <c r="D16" s="11"/>
      <c r="E16" s="11"/>
    </row>
    <row r="17" spans="2:6" ht="10.5" x14ac:dyDescent="0.2">
      <c r="B17" s="9" t="s">
        <v>18</v>
      </c>
      <c r="C17" s="9" t="s">
        <v>4</v>
      </c>
      <c r="D17" s="9" t="s">
        <v>21</v>
      </c>
      <c r="E17" s="9" t="s">
        <v>22</v>
      </c>
      <c r="F17" s="9" t="s">
        <v>23</v>
      </c>
    </row>
    <row r="18" spans="2:6" x14ac:dyDescent="0.2">
      <c r="B18" s="13" t="s">
        <v>3</v>
      </c>
      <c r="C18" s="13" t="str">
        <f>YEAR(D18)&amp;"-"&amp;"W"&amp;TEXT(WEEKNUM(D18,21),"0#")</f>
        <v>2025-W46</v>
      </c>
      <c r="D18" s="14">
        <v>45971</v>
      </c>
      <c r="E18" s="14">
        <f xml:space="preserve"> D18+(6-WEEKDAY(D18,3))</f>
        <v>45977</v>
      </c>
      <c r="F18" s="20" t="s">
        <v>20</v>
      </c>
    </row>
    <row r="19" spans="2:6" x14ac:dyDescent="0.2">
      <c r="B19" s="13"/>
      <c r="C19" s="13" t="str">
        <f>YEAR(D19)&amp;"-"&amp;"W"&amp;TEXT(WEEKNUM(D19,21),"0#")</f>
        <v>2025-W47</v>
      </c>
      <c r="D19" s="14">
        <f>D18+( 7-WEEKDAY(D18,3))</f>
        <v>45978</v>
      </c>
      <c r="E19" s="14">
        <f xml:space="preserve"> D19+(6-WEEKDAY(D19,3))</f>
        <v>45984</v>
      </c>
      <c r="F19" s="19" t="s">
        <v>27</v>
      </c>
    </row>
    <row r="20" spans="2:6" x14ac:dyDescent="0.2">
      <c r="B20" s="13" t="s">
        <v>0</v>
      </c>
      <c r="C20" s="13" t="str">
        <f t="shared" ref="C20:C30" si="0">YEAR(D20)&amp;"-"&amp;"W"&amp;TEXT(WEEKNUM(D20,21),"0#")</f>
        <v>2025-W48</v>
      </c>
      <c r="D20" s="14">
        <f t="shared" ref="D20:D30" si="1">D19+( 7-WEEKDAY(D19,3))</f>
        <v>45985</v>
      </c>
      <c r="E20" s="14">
        <f t="shared" ref="E20:E30" si="2" xml:space="preserve"> D20+(6-WEEKDAY(D20,3))</f>
        <v>45991</v>
      </c>
      <c r="F20" s="21" t="s">
        <v>26</v>
      </c>
    </row>
    <row r="21" spans="2:6" x14ac:dyDescent="0.2">
      <c r="B21" s="13"/>
      <c r="C21" s="13" t="str">
        <f t="shared" si="0"/>
        <v>2025-W49</v>
      </c>
      <c r="D21" s="14">
        <f t="shared" si="1"/>
        <v>45992</v>
      </c>
      <c r="E21" s="14">
        <f t="shared" si="2"/>
        <v>45998</v>
      </c>
      <c r="F21" s="15" t="s">
        <v>26</v>
      </c>
    </row>
    <row r="22" spans="2:6" x14ac:dyDescent="0.2">
      <c r="B22" s="13"/>
      <c r="C22" s="13" t="str">
        <f t="shared" si="0"/>
        <v>2025-W50</v>
      </c>
      <c r="D22" s="14">
        <f t="shared" si="1"/>
        <v>45999</v>
      </c>
      <c r="E22" s="14">
        <f t="shared" si="2"/>
        <v>46005</v>
      </c>
      <c r="F22" s="15" t="s">
        <v>26</v>
      </c>
    </row>
    <row r="23" spans="2:6" x14ac:dyDescent="0.2">
      <c r="B23" s="13"/>
      <c r="C23" s="13" t="str">
        <f t="shared" si="0"/>
        <v>2025-W51</v>
      </c>
      <c r="D23" s="14">
        <f t="shared" si="1"/>
        <v>46006</v>
      </c>
      <c r="E23" s="14">
        <f t="shared" si="2"/>
        <v>46012</v>
      </c>
      <c r="F23" s="15" t="s">
        <v>26</v>
      </c>
    </row>
    <row r="24" spans="2:6" x14ac:dyDescent="0.2">
      <c r="B24" s="13"/>
      <c r="C24" s="13" t="str">
        <f t="shared" si="0"/>
        <v>2025-W52</v>
      </c>
      <c r="D24" s="14">
        <f t="shared" si="1"/>
        <v>46013</v>
      </c>
      <c r="E24" s="14">
        <f t="shared" si="2"/>
        <v>46019</v>
      </c>
      <c r="F24" s="15" t="s">
        <v>26</v>
      </c>
    </row>
    <row r="25" spans="2:6" x14ac:dyDescent="0.2">
      <c r="B25" s="13"/>
      <c r="C25" s="13" t="str">
        <f t="shared" si="0"/>
        <v>2025-W01</v>
      </c>
      <c r="D25" s="14">
        <f t="shared" si="1"/>
        <v>46020</v>
      </c>
      <c r="E25" s="14">
        <f t="shared" si="2"/>
        <v>46026</v>
      </c>
      <c r="F25" s="15" t="s">
        <v>26</v>
      </c>
    </row>
    <row r="26" spans="2:6" x14ac:dyDescent="0.2">
      <c r="B26" s="13"/>
      <c r="C26" s="13" t="str">
        <f t="shared" si="0"/>
        <v>2026-W02</v>
      </c>
      <c r="D26" s="14">
        <f t="shared" si="1"/>
        <v>46027</v>
      </c>
      <c r="E26" s="14">
        <f t="shared" si="2"/>
        <v>46033</v>
      </c>
      <c r="F26" s="15" t="s">
        <v>26</v>
      </c>
    </row>
    <row r="27" spans="2:6" x14ac:dyDescent="0.2">
      <c r="B27" s="13"/>
      <c r="C27" s="13" t="str">
        <f t="shared" si="0"/>
        <v>2026-W03</v>
      </c>
      <c r="D27" s="14">
        <f t="shared" si="1"/>
        <v>46034</v>
      </c>
      <c r="E27" s="14">
        <f t="shared" si="2"/>
        <v>46040</v>
      </c>
      <c r="F27" s="15" t="s">
        <v>26</v>
      </c>
    </row>
    <row r="28" spans="2:6" x14ac:dyDescent="0.2">
      <c r="B28" s="13"/>
      <c r="C28" s="13" t="str">
        <f t="shared" si="0"/>
        <v>2026-W04</v>
      </c>
      <c r="D28" s="14">
        <f t="shared" si="1"/>
        <v>46041</v>
      </c>
      <c r="E28" s="14">
        <f t="shared" si="2"/>
        <v>46047</v>
      </c>
      <c r="F28" s="15" t="s">
        <v>26</v>
      </c>
    </row>
    <row r="29" spans="2:6" x14ac:dyDescent="0.2">
      <c r="B29" s="13" t="s">
        <v>38</v>
      </c>
      <c r="C29" s="13" t="str">
        <f t="shared" si="0"/>
        <v>2026-W05</v>
      </c>
      <c r="D29" s="14">
        <f t="shared" si="1"/>
        <v>46048</v>
      </c>
      <c r="E29" s="14">
        <f t="shared" si="2"/>
        <v>46054</v>
      </c>
      <c r="F29" s="15" t="s">
        <v>26</v>
      </c>
    </row>
    <row r="30" spans="2:6" x14ac:dyDescent="0.2">
      <c r="B30" s="13" t="s">
        <v>24</v>
      </c>
      <c r="C30" s="13" t="str">
        <f t="shared" si="0"/>
        <v>2026-W06</v>
      </c>
      <c r="D30" s="14">
        <f t="shared" si="1"/>
        <v>46055</v>
      </c>
      <c r="E30" s="14">
        <f t="shared" si="2"/>
        <v>46061</v>
      </c>
      <c r="F30" s="15" t="s">
        <v>26</v>
      </c>
    </row>
    <row r="32" spans="2:6" ht="10.5" x14ac:dyDescent="0.2">
      <c r="B32" s="9" t="s">
        <v>25</v>
      </c>
      <c r="C32" s="9"/>
      <c r="D32" s="9"/>
      <c r="E32" s="9"/>
      <c r="F32" s="9"/>
    </row>
    <row r="33" spans="2:6" ht="20" x14ac:dyDescent="0.2">
      <c r="B33" s="4" t="s">
        <v>33</v>
      </c>
      <c r="C33" s="22" t="s">
        <v>36</v>
      </c>
      <c r="D33" s="22"/>
      <c r="E33" s="22"/>
      <c r="F33" s="22"/>
    </row>
    <row r="34" spans="2:6" ht="30" x14ac:dyDescent="0.2">
      <c r="B34" s="4" t="s">
        <v>34</v>
      </c>
      <c r="C34" s="22" t="s">
        <v>36</v>
      </c>
      <c r="D34" s="22"/>
      <c r="E34" s="22"/>
      <c r="F34" s="22"/>
    </row>
  </sheetData>
  <mergeCells count="7">
    <mergeCell ref="C34:F34"/>
    <mergeCell ref="D9:F9"/>
    <mergeCell ref="C12:F12"/>
    <mergeCell ref="C13:F13"/>
    <mergeCell ref="C14:F14"/>
    <mergeCell ref="C15:F15"/>
    <mergeCell ref="C33:F33"/>
  </mergeCells>
  <conditionalFormatting sqref="C23:D29">
    <cfRule type="containsText" dxfId="2" priority="1" operator="containsText" text="CRITICAL">
      <formula>NOT(ISERROR(SEARCH("CRITICAL",C23)))</formula>
    </cfRule>
    <cfRule type="containsText" dxfId="1" priority="2" operator="containsText" text="WARNING">
      <formula>NOT(ISERROR(SEARCH("WARNING",C23)))</formula>
    </cfRule>
    <cfRule type="containsText" dxfId="0" priority="3" operator="containsText" text="OK">
      <formula>NOT(ISERROR(SEARCH("OK",C23)))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W2-21.Nov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Tony Nguyen</cp:lastModifiedBy>
  <dcterms:created xsi:type="dcterms:W3CDTF">2023-06-12T15:04:10Z</dcterms:created>
  <dcterms:modified xsi:type="dcterms:W3CDTF">2025-11-21T10:39:01Z</dcterms:modified>
</cp:coreProperties>
</file>