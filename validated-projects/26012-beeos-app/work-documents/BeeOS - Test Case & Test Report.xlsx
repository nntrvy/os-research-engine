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xr:revisionPtr revIDLastSave="0" documentId="13_ncr:1_{967EE390-12A6-495F-9274-DE7C5F3C60F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Report (QC)" sheetId="1" r:id="rId1"/>
    <sheet name="BeeOS - Đăng nhập" sheetId="2" r:id="rId2"/>
    <sheet name="BeeOS - Đăng Xuất" sheetId="19" r:id="rId3"/>
    <sheet name="BeeOS - Quản lý Pham vi BH" sheetId="4" r:id="rId4"/>
    <sheet name="BeeOS - Quản lý Mức khấu trừ" sheetId="5" r:id="rId5"/>
    <sheet name="BeeOS - Quản lý Loại hình BH" sheetId="3" r:id="rId6"/>
    <sheet name="BeeOS - Quản lý Bộ ĐK bổ sung" sheetId="6" r:id="rId7"/>
    <sheet name="BeeOS - Quản lý ĐK bổ sung" sheetId="39" r:id="rId8"/>
    <sheet name="BeeOS - Quản lý Nhóm Tổn Thất" sheetId="7" r:id="rId9"/>
    <sheet name="BeeOS - Quản lý Công ty BH" sheetId="8" r:id="rId10"/>
    <sheet name="BeeOS - Quản lý P&amp;L" sheetId="10" r:id="rId11"/>
    <sheet name="BeeOS - Quản lý địa điểm" sheetId="49" r:id="rId12"/>
    <sheet name="BeeOS - Tài khoản" sheetId="51" r:id="rId13"/>
    <sheet name="BeeOS - Cài đặt chế độ bảo trì" sheetId="11" r:id="rId14"/>
    <sheet name="BeeOS - Cài đặt thông báo" sheetId="12" r:id="rId15"/>
    <sheet name="BeeOS - Quản lý HĐBH(B1)" sheetId="13" r:id="rId16"/>
    <sheet name="BeeOS - Quản lý HĐBH(B2)" sheetId="14" r:id="rId17"/>
    <sheet name="BeeOS - Quản lý HĐBH(B3)" sheetId="15" r:id="rId18"/>
    <sheet name="BeeOS - Quản lý HĐBH(B4)" sheetId="16" r:id="rId19"/>
    <sheet name="BeeOS - KT Bản chào phí" sheetId="20" r:id="rId20"/>
    <sheet name="BeeOS - Tạo phụ lục HĐBH(B1)" sheetId="21" r:id="rId21"/>
    <sheet name="BeeOS - Tạo Phụ lục HĐ(B2)" sheetId="22" r:id="rId22"/>
    <sheet name="BeeOS -Trang vận hành cấp đơn" sheetId="17" r:id="rId23"/>
    <sheet name="BeeOS - Trang List HĐBH" sheetId="48" r:id="rId24"/>
    <sheet name="BeeOS - ChiTiết HĐ (Nháp)" sheetId="23" r:id="rId25"/>
    <sheet name="BeeO-ChiTiết HĐ (Chờ Duyệt CT)" sheetId="24" r:id="rId26"/>
    <sheet name="BeeOS-ChiTiết HĐ (Chỉnh sửa ĐX)" sheetId="50" r:id="rId27"/>
    <sheet name="BeeOS-ChiTiết HĐ (Đã Duyệt CT)" sheetId="25" r:id="rId28"/>
    <sheet name="BeeO-ChiTiết HĐ (Chờ Duyệt NL)" sheetId="26" r:id="rId29"/>
    <sheet name="BeeOS-ChiTiết HĐ (Chỉnh sửa NL)" sheetId="52" r:id="rId30"/>
    <sheet name="BeeOS-ChiTiết HĐ (Đã Duyệt NL)" sheetId="27" r:id="rId31"/>
    <sheet name="BeeOS-ChiTiết HĐ (TBH Đã Duyệt)" sheetId="40" r:id="rId32"/>
    <sheet name="BeeOS-ChiTiết HĐ (Đã lưu BCHĐ)" sheetId="28" r:id="rId33"/>
    <sheet name="BeeOS-ChiTiết HĐ (Phụ Lục)" sheetId="36" r:id="rId34"/>
    <sheet name="BeeOS - Leader list phê duyệt" sheetId="53" r:id="rId35"/>
    <sheet name="BeeOS - Phê Duyệt CT (B1)" sheetId="33" r:id="rId36"/>
    <sheet name="BeeOS - Phê Duyệt NL (B2)" sheetId="34" r:id="rId37"/>
    <sheet name="BeeOS - Phê Duyệt Phụ Lục" sheetId="35" r:id="rId38"/>
    <sheet name="BeeOS - Leader Trang Đã duyệt" sheetId="54" r:id="rId39"/>
    <sheet name="BeeOS - Email và Tin nhắn Zalo" sheetId="38" r:id="rId40"/>
    <sheet name="BeeOS - Tạo Bồi Thường" sheetId="41" r:id="rId41"/>
    <sheet name="BeeOS - Dashboard Bồi Thường" sheetId="42" r:id="rId42"/>
    <sheet name="BeeOS - Danh sách Bồi Thường" sheetId="43" r:id="rId43"/>
    <sheet name="BeeOS - Chi Tiết Bồi Thường" sheetId="55" r:id="rId4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G2" i="22"/>
  <c r="H2" i="11"/>
  <c r="H2" i="12"/>
  <c r="H2" i="13"/>
  <c r="H2" i="14"/>
  <c r="H2" i="22"/>
  <c r="H2" i="17"/>
  <c r="H2" i="48"/>
  <c r="H2" i="23"/>
  <c r="H2" i="24"/>
  <c r="H2" i="50"/>
  <c r="H2" i="25"/>
  <c r="H2" i="26"/>
  <c r="H2" i="52"/>
  <c r="H2" i="27"/>
  <c r="H2" i="40"/>
  <c r="H2" i="28"/>
  <c r="H2" i="36"/>
  <c r="H2" i="53"/>
  <c r="H2" i="33"/>
  <c r="G2" i="34"/>
  <c r="G2" i="35"/>
  <c r="G2" i="54"/>
  <c r="G2" i="38"/>
  <c r="G2" i="41"/>
  <c r="G2" i="42"/>
  <c r="G2" i="43"/>
  <c r="G2" i="55"/>
  <c r="C47" i="1"/>
  <c r="D42" i="1"/>
  <c r="E42" i="1"/>
  <c r="F42" i="1"/>
  <c r="F41" i="1"/>
  <c r="C42" i="1"/>
  <c r="D47" i="1"/>
  <c r="E47" i="1"/>
  <c r="F47" i="1"/>
  <c r="D46" i="1"/>
  <c r="E46" i="1"/>
  <c r="F46" i="1"/>
  <c r="D45" i="1"/>
  <c r="E45" i="1"/>
  <c r="F45" i="1"/>
  <c r="D44" i="1"/>
  <c r="E44" i="1"/>
  <c r="F44" i="1"/>
  <c r="D43" i="1"/>
  <c r="E43" i="1"/>
  <c r="F43" i="1"/>
  <c r="D41" i="1"/>
  <c r="E41" i="1"/>
  <c r="D40" i="1"/>
  <c r="E40" i="1"/>
  <c r="F40" i="1"/>
  <c r="D39" i="1"/>
  <c r="E39" i="1"/>
  <c r="F39" i="1"/>
  <c r="D38" i="1"/>
  <c r="E38" i="1"/>
  <c r="F38" i="1"/>
  <c r="D37" i="1"/>
  <c r="E37" i="1"/>
  <c r="F37" i="1"/>
  <c r="D36" i="1"/>
  <c r="E36" i="1"/>
  <c r="F36" i="1"/>
  <c r="D35" i="1"/>
  <c r="E35" i="1"/>
  <c r="F35" i="1"/>
  <c r="D34" i="1"/>
  <c r="E34" i="1"/>
  <c r="F34" i="1"/>
  <c r="D33" i="1"/>
  <c r="E33" i="1"/>
  <c r="F33" i="1"/>
  <c r="D32" i="1"/>
  <c r="E32" i="1"/>
  <c r="F32" i="1"/>
  <c r="D30" i="1"/>
  <c r="E30" i="1"/>
  <c r="F30" i="1"/>
  <c r="D29" i="1"/>
  <c r="E29" i="1"/>
  <c r="F29" i="1"/>
  <c r="D28" i="1"/>
  <c r="E28" i="1"/>
  <c r="F28" i="1"/>
  <c r="D27" i="1"/>
  <c r="E27" i="1"/>
  <c r="F27" i="1"/>
  <c r="D26" i="1"/>
  <c r="E26" i="1"/>
  <c r="F26" i="1"/>
  <c r="D25" i="1"/>
  <c r="E25" i="1"/>
  <c r="F25" i="1"/>
  <c r="D24" i="1"/>
  <c r="E24" i="1"/>
  <c r="F24" i="1"/>
  <c r="D23" i="1"/>
  <c r="E23" i="1"/>
  <c r="F23" i="1"/>
  <c r="D22" i="1"/>
  <c r="E22" i="1"/>
  <c r="F22" i="1"/>
  <c r="D21" i="1"/>
  <c r="E21" i="1"/>
  <c r="F21" i="1"/>
  <c r="D20" i="1"/>
  <c r="E20" i="1"/>
  <c r="F20" i="1"/>
  <c r="D19" i="1"/>
  <c r="E19" i="1"/>
  <c r="F19" i="1"/>
  <c r="D18" i="1"/>
  <c r="E18" i="1"/>
  <c r="F18" i="1"/>
  <c r="D17" i="1"/>
  <c r="E17" i="1"/>
  <c r="F17" i="1"/>
  <c r="D16" i="1"/>
  <c r="E16" i="1"/>
  <c r="F16" i="1"/>
  <c r="D15" i="1"/>
  <c r="E15" i="1"/>
  <c r="F15" i="1"/>
  <c r="D14" i="1"/>
  <c r="E14" i="1"/>
  <c r="F14" i="1"/>
  <c r="D13" i="1"/>
  <c r="E13" i="1"/>
  <c r="F13" i="1"/>
  <c r="D12" i="1"/>
  <c r="E12" i="1"/>
  <c r="F12" i="1"/>
  <c r="D11" i="1"/>
  <c r="E11" i="1"/>
  <c r="F11" i="1"/>
  <c r="D7" i="1"/>
  <c r="E7" i="1"/>
  <c r="F7" i="1"/>
  <c r="D10" i="1"/>
  <c r="E10" i="1"/>
  <c r="F10" i="1"/>
  <c r="D9" i="1"/>
  <c r="E9" i="1"/>
  <c r="F9" i="1"/>
  <c r="C46" i="1"/>
  <c r="C45" i="1"/>
  <c r="C44" i="1"/>
  <c r="C43" i="1"/>
  <c r="C41" i="1"/>
  <c r="C40" i="1"/>
  <c r="C39" i="1"/>
  <c r="C38" i="1"/>
  <c r="C37" i="1"/>
  <c r="C36" i="1"/>
  <c r="C35" i="1"/>
  <c r="C34" i="1"/>
  <c r="C33" i="1"/>
  <c r="C32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I2" i="55"/>
  <c r="H2" i="55"/>
  <c r="F2" i="55"/>
  <c r="C9" i="1"/>
  <c r="I2" i="54"/>
  <c r="H2" i="54"/>
  <c r="F2" i="54"/>
  <c r="D8" i="1"/>
  <c r="E8" i="1"/>
  <c r="F6" i="1"/>
  <c r="C8" i="1"/>
  <c r="C7" i="1"/>
  <c r="C6" i="1"/>
  <c r="J2" i="53"/>
  <c r="I2" i="53"/>
  <c r="G2" i="53"/>
  <c r="J2" i="52"/>
  <c r="I2" i="52"/>
  <c r="G2" i="52"/>
  <c r="G2" i="51"/>
  <c r="H2" i="51"/>
  <c r="I2" i="51"/>
  <c r="J2" i="51"/>
  <c r="H3" i="51"/>
  <c r="I3" i="51"/>
  <c r="J3" i="51"/>
  <c r="H2" i="49"/>
  <c r="J2" i="50"/>
  <c r="I2" i="50"/>
  <c r="G2" i="50"/>
  <c r="G2" i="23"/>
  <c r="J2" i="49"/>
  <c r="I2" i="49"/>
  <c r="G2" i="49"/>
  <c r="H2" i="8"/>
  <c r="G2" i="48"/>
  <c r="I2" i="48"/>
  <c r="J2" i="48"/>
  <c r="H3" i="48"/>
  <c r="I3" i="48"/>
  <c r="J3" i="48"/>
  <c r="H2" i="7"/>
  <c r="H2" i="6"/>
  <c r="G2" i="6"/>
  <c r="J2" i="39"/>
  <c r="I2" i="39"/>
  <c r="H2" i="39"/>
  <c r="G2" i="39"/>
  <c r="G2" i="4"/>
  <c r="H2" i="4"/>
  <c r="J2" i="3"/>
  <c r="I2" i="3"/>
  <c r="H2" i="3"/>
  <c r="G2" i="10"/>
  <c r="H2" i="10"/>
  <c r="I2" i="10"/>
  <c r="I2" i="5"/>
  <c r="H2" i="5"/>
  <c r="I2" i="43"/>
  <c r="H2" i="43"/>
  <c r="F2" i="43"/>
  <c r="I2" i="42"/>
  <c r="H2" i="42"/>
  <c r="F2" i="42"/>
  <c r="I2" i="41"/>
  <c r="H2" i="41"/>
  <c r="F2" i="41"/>
  <c r="J2" i="40"/>
  <c r="I2" i="40"/>
  <c r="G2" i="40"/>
  <c r="H3" i="39"/>
  <c r="I3" i="39"/>
  <c r="J3" i="39"/>
  <c r="H2" i="21"/>
  <c r="H2" i="15"/>
  <c r="I2" i="38"/>
  <c r="H2" i="38"/>
  <c r="F2" i="38"/>
  <c r="J2" i="36"/>
  <c r="I2" i="36"/>
  <c r="G2" i="36"/>
  <c r="I2" i="35"/>
  <c r="H2" i="35"/>
  <c r="F2" i="35"/>
  <c r="I2" i="34"/>
  <c r="H2" i="34"/>
  <c r="F2" i="34"/>
  <c r="G2" i="27"/>
  <c r="J2" i="33"/>
  <c r="I2" i="33"/>
  <c r="G2" i="33"/>
  <c r="J2" i="28"/>
  <c r="I2" i="28"/>
  <c r="G2" i="28"/>
  <c r="J2" i="27"/>
  <c r="I2" i="27"/>
  <c r="J2" i="26"/>
  <c r="I2" i="26"/>
  <c r="G2" i="26"/>
  <c r="J2" i="25"/>
  <c r="F31" i="1" s="1"/>
  <c r="F48" i="1" s="1"/>
  <c r="I2" i="25"/>
  <c r="E31" i="1" s="1"/>
  <c r="E48" i="1" s="1"/>
  <c r="D31" i="1"/>
  <c r="G2" i="25"/>
  <c r="C31" i="1" s="1"/>
  <c r="C48" i="1" s="1"/>
  <c r="G2" i="24"/>
  <c r="J2" i="24"/>
  <c r="I2" i="24"/>
  <c r="J2" i="23"/>
  <c r="I2" i="23"/>
  <c r="J2" i="22"/>
  <c r="I2" i="22"/>
  <c r="J2" i="21"/>
  <c r="I2" i="21"/>
  <c r="G2" i="21"/>
  <c r="J2" i="20"/>
  <c r="I2" i="20"/>
  <c r="H2" i="20"/>
  <c r="J2" i="16"/>
  <c r="I2" i="16"/>
  <c r="H2" i="16"/>
  <c r="G2" i="20"/>
  <c r="I2" i="19"/>
  <c r="H2" i="19"/>
  <c r="G2" i="19"/>
  <c r="I2" i="2"/>
  <c r="E6" i="1" s="1"/>
  <c r="H2" i="2"/>
  <c r="D6" i="1" s="1"/>
  <c r="J2" i="19"/>
  <c r="G2" i="17"/>
  <c r="J2" i="17"/>
  <c r="I2" i="17"/>
  <c r="G2" i="16"/>
  <c r="J2" i="15"/>
  <c r="I2" i="15"/>
  <c r="G2" i="15"/>
  <c r="J2" i="14"/>
  <c r="I2" i="14"/>
  <c r="G2" i="14"/>
  <c r="J2" i="13"/>
  <c r="I2" i="13"/>
  <c r="G2" i="13"/>
  <c r="J2" i="12"/>
  <c r="I2" i="12"/>
  <c r="G2" i="12"/>
  <c r="G2" i="11"/>
  <c r="J2" i="10"/>
  <c r="J2" i="8"/>
  <c r="I2" i="8"/>
  <c r="G2" i="8"/>
  <c r="J2" i="7"/>
  <c r="I2" i="7"/>
  <c r="G2" i="7"/>
  <c r="J2" i="6"/>
  <c r="I2" i="6"/>
  <c r="J2" i="5"/>
  <c r="G2" i="5"/>
  <c r="J2" i="4"/>
  <c r="I2" i="4"/>
  <c r="G2" i="2"/>
  <c r="G2" i="3"/>
  <c r="J2" i="2"/>
  <c r="D48" i="1" l="1"/>
  <c r="G3" i="55"/>
  <c r="H3" i="55"/>
  <c r="I3" i="55"/>
  <c r="G3" i="54"/>
  <c r="H3" i="54"/>
  <c r="I3" i="54"/>
  <c r="H3" i="53"/>
  <c r="I3" i="53"/>
  <c r="J3" i="53"/>
  <c r="H3" i="52"/>
  <c r="I3" i="52"/>
  <c r="J3" i="52"/>
  <c r="G3" i="51"/>
  <c r="H3" i="50"/>
  <c r="I3" i="50"/>
  <c r="J3" i="50"/>
  <c r="H3" i="49"/>
  <c r="I3" i="49"/>
  <c r="J3" i="49"/>
  <c r="G3" i="48"/>
  <c r="G3" i="39"/>
  <c r="G3" i="43"/>
  <c r="H3" i="43"/>
  <c r="I3" i="43"/>
  <c r="G3" i="42"/>
  <c r="H3" i="42"/>
  <c r="I3" i="42"/>
  <c r="G3" i="41"/>
  <c r="H3" i="41"/>
  <c r="I3" i="41"/>
  <c r="H3" i="40"/>
  <c r="I3" i="40"/>
  <c r="J3" i="40"/>
  <c r="G3" i="38"/>
  <c r="H3" i="38"/>
  <c r="I3" i="38"/>
  <c r="H3" i="36"/>
  <c r="I3" i="36"/>
  <c r="J3" i="36"/>
  <c r="G3" i="35"/>
  <c r="H3" i="35"/>
  <c r="I3" i="35"/>
  <c r="G3" i="34"/>
  <c r="H3" i="34"/>
  <c r="I3" i="34"/>
  <c r="H3" i="33"/>
  <c r="I3" i="33"/>
  <c r="J3" i="33"/>
  <c r="H3" i="28"/>
  <c r="I3" i="28"/>
  <c r="J3" i="28"/>
  <c r="H3" i="27"/>
  <c r="I3" i="27"/>
  <c r="J3" i="27"/>
  <c r="H3" i="26"/>
  <c r="I3" i="26"/>
  <c r="J3" i="26"/>
  <c r="H3" i="25"/>
  <c r="I3" i="25"/>
  <c r="J3" i="25"/>
  <c r="H3" i="24"/>
  <c r="I3" i="24"/>
  <c r="J3" i="24"/>
  <c r="H3" i="23"/>
  <c r="I3" i="23"/>
  <c r="J3" i="23"/>
  <c r="H3" i="22"/>
  <c r="I3" i="22"/>
  <c r="J3" i="22"/>
  <c r="H3" i="21"/>
  <c r="I3" i="21"/>
  <c r="J3" i="21"/>
  <c r="H3" i="20"/>
  <c r="I3" i="20"/>
  <c r="J3" i="20"/>
  <c r="H3" i="19"/>
  <c r="I3" i="19"/>
  <c r="J3" i="19"/>
  <c r="H3" i="17"/>
  <c r="I3" i="17"/>
  <c r="J3" i="17"/>
  <c r="H3" i="16"/>
  <c r="I3" i="16"/>
  <c r="J3" i="16"/>
  <c r="H3" i="15"/>
  <c r="I3" i="15"/>
  <c r="J3" i="15"/>
  <c r="H3" i="14"/>
  <c r="I3" i="14"/>
  <c r="J3" i="14"/>
  <c r="H3" i="13"/>
  <c r="I3" i="13"/>
  <c r="J3" i="13"/>
  <c r="H3" i="12"/>
  <c r="I3" i="12"/>
  <c r="J3" i="12"/>
  <c r="H3" i="10"/>
  <c r="I3" i="10"/>
  <c r="J3" i="10"/>
  <c r="H3" i="8"/>
  <c r="I3" i="8"/>
  <c r="J3" i="8"/>
  <c r="H3" i="7"/>
  <c r="I3" i="7"/>
  <c r="J3" i="7"/>
  <c r="H3" i="6"/>
  <c r="I3" i="6"/>
  <c r="J3" i="6"/>
  <c r="H3" i="5"/>
  <c r="I3" i="5"/>
  <c r="J3" i="5"/>
  <c r="H3" i="4"/>
  <c r="I3" i="4"/>
  <c r="J3" i="4"/>
  <c r="H3" i="3"/>
  <c r="I3" i="3"/>
  <c r="J3" i="3"/>
  <c r="H3" i="2"/>
  <c r="I3" i="2"/>
  <c r="J3" i="2"/>
  <c r="F3" i="55" l="1"/>
  <c r="F3" i="54"/>
  <c r="G3" i="53"/>
  <c r="G3" i="52"/>
  <c r="G3" i="50"/>
  <c r="G3" i="49"/>
  <c r="G3" i="5"/>
  <c r="G3" i="4"/>
  <c r="F3" i="43"/>
  <c r="F3" i="42"/>
  <c r="F3" i="41"/>
  <c r="G3" i="40"/>
  <c r="F3" i="38"/>
  <c r="G3" i="36"/>
  <c r="F3" i="35"/>
  <c r="F3" i="34"/>
  <c r="G3" i="33"/>
  <c r="G3" i="28"/>
  <c r="G3" i="27"/>
  <c r="G3" i="26"/>
  <c r="G3" i="25"/>
  <c r="G3" i="24"/>
  <c r="G3" i="23"/>
  <c r="G3" i="22"/>
  <c r="G3" i="21"/>
  <c r="G3" i="20"/>
  <c r="G3" i="19"/>
  <c r="G3" i="17"/>
  <c r="G3" i="16"/>
  <c r="G3" i="15"/>
  <c r="G3" i="14"/>
  <c r="G3" i="13"/>
  <c r="G3" i="12"/>
  <c r="G3" i="10"/>
  <c r="G3" i="8"/>
  <c r="G3" i="7"/>
  <c r="G3" i="6"/>
  <c r="G3" i="3"/>
  <c r="G3" i="2"/>
  <c r="J2" i="11" l="1"/>
  <c r="J3" i="11" s="1"/>
  <c r="I2" i="11"/>
  <c r="I3" i="11" s="1"/>
  <c r="H3" i="11"/>
  <c r="G3" i="11" s="1"/>
</calcChain>
</file>

<file path=xl/sharedStrings.xml><?xml version="1.0" encoding="utf-8"?>
<sst xmlns="http://schemas.openxmlformats.org/spreadsheetml/2006/main" count="7573" uniqueCount="3465">
  <si>
    <t>BeeOS</t>
  </si>
  <si>
    <t>No.</t>
  </si>
  <si>
    <t>Tên chức năng</t>
  </si>
  <si>
    <t>TCs</t>
  </si>
  <si>
    <t>Đạt</t>
  </si>
  <si>
    <t>Không đạt</t>
  </si>
  <si>
    <t>Chưa xong</t>
  </si>
  <si>
    <t>Ghi chú</t>
  </si>
  <si>
    <t>Đăng nhập</t>
  </si>
  <si>
    <t>Đăng xuất</t>
  </si>
  <si>
    <t>Quản lý phạm vi BH</t>
  </si>
  <si>
    <t xml:space="preserve">Quản lý mức khấu trừ </t>
  </si>
  <si>
    <t>Quản lý loại hình BH</t>
  </si>
  <si>
    <t>Quản lý ĐK bổ sung</t>
  </si>
  <si>
    <t>Quản lý Nhóm tổn thất</t>
  </si>
  <si>
    <t>Quản lý công ty bảo hiểm</t>
  </si>
  <si>
    <t>Quản lý P&amp;L</t>
  </si>
  <si>
    <t>Quản lý địa điểm</t>
  </si>
  <si>
    <t>Tài khoản</t>
  </si>
  <si>
    <t>Cài đặt chế độ bảo trì</t>
  </si>
  <si>
    <t>Cài đặt thông báo</t>
  </si>
  <si>
    <t>Quản lý HĐBH(B1)</t>
  </si>
  <si>
    <t>Quản lý HĐBH(B2)</t>
  </si>
  <si>
    <t>Quản lý HĐBH(B3)</t>
  </si>
  <si>
    <t>Quản lý HĐBH(B4)</t>
  </si>
  <si>
    <t>KT Bản chào phí</t>
  </si>
  <si>
    <t>Tạo phụ lục HĐ (B1)</t>
  </si>
  <si>
    <t>Tạo phụ lục HĐ (B2)</t>
  </si>
  <si>
    <t>Trang vận hành cấp đơn</t>
  </si>
  <si>
    <t>Trang list HĐBH</t>
  </si>
  <si>
    <t>Chi tiết HĐ (Nháp)</t>
  </si>
  <si>
    <t>Chi tiết HĐ (Chờ duyệt CT)</t>
  </si>
  <si>
    <t>Chi tiết HĐ (Chỉnh sửa ĐX)</t>
  </si>
  <si>
    <t>Chi tiết HĐ (Đã duyệt CT)</t>
  </si>
  <si>
    <t>Chi tiết HĐ (Chờ duyệt NL)</t>
  </si>
  <si>
    <t>Chi tiết HĐ (Chỉnh sửa NL)</t>
  </si>
  <si>
    <t>Chi tiết HĐ (Đã duyệt NL)</t>
  </si>
  <si>
    <t>Chi tiết HĐ (TBH đã duyệt)</t>
  </si>
  <si>
    <t>Chi tiết HĐ (Đã lưu BCHĐ)</t>
  </si>
  <si>
    <t>Chi tiết HĐ (Phụ lục)</t>
  </si>
  <si>
    <t>Leader trang list phê duyệt</t>
  </si>
  <si>
    <t>Phê duyệt CT (B1)</t>
  </si>
  <si>
    <t>Phê duyệt NL (B2)</t>
  </si>
  <si>
    <t>Phê duyệt Phụ Lục</t>
  </si>
  <si>
    <t>Leader Trang đã duyệt</t>
  </si>
  <si>
    <t>Email và Tin nhắn Zalo</t>
  </si>
  <si>
    <t>Tạo bồi thường</t>
  </si>
  <si>
    <t>Dashboard bồi thường</t>
  </si>
  <si>
    <t>Danh sách bồi thường</t>
  </si>
  <si>
    <t xml:space="preserve">Chi tiết Bồi Thường </t>
  </si>
  <si>
    <t>Total Test Cases</t>
  </si>
  <si>
    <t>Đăng nhập &amp; Quên mật khẩu</t>
  </si>
  <si>
    <t>Tổng TCs</t>
  </si>
  <si>
    <t>Người tạo</t>
  </si>
  <si>
    <t>Levi</t>
  </si>
  <si>
    <t>Ngày Tạo</t>
  </si>
  <si>
    <t>ID</t>
  </si>
  <si>
    <t>Mô tả User Story</t>
  </si>
  <si>
    <t>Chức năng chính</t>
  </si>
  <si>
    <t>Chức năng con</t>
  </si>
  <si>
    <t>Điều kiện tiên quyết</t>
  </si>
  <si>
    <t>Mô tả</t>
  </si>
  <si>
    <t>Các bước thực hiện</t>
  </si>
  <si>
    <t>Kết quả mong đợi</t>
  </si>
  <si>
    <t>Kết quả thực tế</t>
  </si>
  <si>
    <t>TC-01</t>
  </si>
  <si>
    <t>Là Admin, tôi muốn đăng nhập bằng email và mật khẩu hợp lệ để vào trang chính</t>
  </si>
  <si>
    <t>Đăng nhập thủ công</t>
  </si>
  <si>
    <t>Admin đã có tài khoản active</t>
  </si>
  <si>
    <t>Kiểm tra đăng nhập thành công với thông tin hợp lệ</t>
  </si>
  <si>
    <t>1. Mở trang đăng nhập 2. Nhập email admin[at]example.com 3. Nhập mật khẩu đúng 4. Nhấn Đăng nhập</t>
  </si>
  <si>
    <t>Hệ thống đăng nhập thành công; Chuyển đến trang chính với vai trò Admin</t>
  </si>
  <si>
    <t>TC-02</t>
  </si>
  <si>
    <t>Là Admin, tôi muốn biết khi nhập sai mật khẩu để nhập lại</t>
  </si>
  <si>
    <t>Kiểm tra đăng nhập với mật khẩu sai</t>
  </si>
  <si>
    <t>1. Nhập email admin[at]example.com 2. Nhập sai mật khẩu 3. Nhấn Đăng nhập</t>
  </si>
  <si>
    <t>Hệ thống không đăng nhập; Hiển thị thông báo sai mật khẩu</t>
  </si>
  <si>
    <t>TC-03</t>
  </si>
  <si>
    <t>Là Admin, tôi muốn biết khi nhập sai định dạng email</t>
  </si>
  <si>
    <t>Có màn hình đăng nhập</t>
  </si>
  <si>
    <t>Kiểm tra nhập email sai định dạng</t>
  </si>
  <si>
    <t>1. Nhập email admin.example.com 2. Nhập mật khẩu bất kỳ 3. Nhấn Đăng nhập</t>
  </si>
  <si>
    <t>Hệ thống không đăng nhập; Hiển thị lỗi định dạng email</t>
  </si>
  <si>
    <t>TC-04</t>
  </si>
  <si>
    <t>Là Admin, tôi muốn hệ thống nhắc nhập email khi để trống</t>
  </si>
  <si>
    <t>Kiểm tra để trống email</t>
  </si>
  <si>
    <t>1. Để trống email 2. Nhập mật khẩu bất kỳ 3. Nhấn Đăng nhập</t>
  </si>
  <si>
    <t>Hệ thống hiển thị thông báo bắt buộc nhập email</t>
  </si>
  <si>
    <t>TC-05</t>
  </si>
  <si>
    <t>Là Admin, tôi muốn hệ thống nhắc nhập mật khẩu khi để trống</t>
  </si>
  <si>
    <t>Kiểm tra để trống mật khẩu</t>
  </si>
  <si>
    <t>1. Nhập admin[at]example.com 2. Để trống mật khẩu 3. Nhấn Đăng nhập</t>
  </si>
  <si>
    <t>Hệ thống hiển thị yêu cầu nhập mật khẩu</t>
  </si>
  <si>
    <t>TC-07</t>
  </si>
  <si>
    <t>Là Admin, tôi muốn xem thông báo nếu bỏ trống cả email và mật khẩu</t>
  </si>
  <si>
    <t>Kiểm tra bỏ trống cả 2 trường</t>
  </si>
  <si>
    <t>1. Để trống email và mật khẩu 2. Nhấn Đăng nhập</t>
  </si>
  <si>
    <t>Hệ thống hiển thị lỗi yêu cầu nhập email và mật khẩu</t>
  </si>
  <si>
    <t>TC-08</t>
  </si>
  <si>
    <t>Là Admin, tôi muốn hệ thống giữ phiên đăng nhập nếu refresh trang</t>
  </si>
  <si>
    <t>Quản lý phiên</t>
  </si>
  <si>
    <t>Admin đã đăng nhập thành công</t>
  </si>
  <si>
    <t>Kiểm tra session sau khi refresh</t>
  </si>
  <si>
    <t>1. Đăng nhập thành công 2. Refresh trình duyệt</t>
  </si>
  <si>
    <t>Hệ thống vẫn giữ trạng thái đăng nhập; Hiển thị trang chính</t>
  </si>
  <si>
    <t>TC-09</t>
  </si>
  <si>
    <t>Là Admin, tôi muốn được yêu cầu đổi mật khẩu nếu quên</t>
  </si>
  <si>
    <t>Quên mật khẩu</t>
  </si>
  <si>
    <t>Gửi yêu cầu reset</t>
  </si>
  <si>
    <t>Admin quên mật khẩu</t>
  </si>
  <si>
    <t>Kiểm tra gửi yêu cầu quên mật khẩu</t>
  </si>
  <si>
    <t>1. Nhấn Forgot Password 2. Nhập admin[at]example.com 3. Nhấn Gửi yêu cầu</t>
  </si>
  <si>
    <t>Hệ thống gửi email đặt lại mật khẩu; Hiển thị thông báo gửi email thành công</t>
  </si>
  <si>
    <t>TC-10</t>
  </si>
  <si>
    <t>Là Underwriter, tôi muốn đăng nhập thành công bằng email và mật khẩu</t>
  </si>
  <si>
    <t>Underwriter có tài khoản active</t>
  </si>
  <si>
    <t>Đăng nhập Underwriter hợp lệ</t>
  </si>
  <si>
    <t>1. Nhập email uw[at]example.com 2. Nhập mật khẩu đúng 3. Nhấn Đăng nhập</t>
  </si>
  <si>
    <t>Hệ thống đăng nhập thành công; Chuyển đến trang chính với vai trò Underwriter</t>
  </si>
  <si>
    <t>TC-11</t>
  </si>
  <si>
    <t>Là Claim Officer, tôi muốn đăng nhập thành công bằng email và mật khẩu</t>
  </si>
  <si>
    <t>Claim Officer có tài khoản active</t>
  </si>
  <si>
    <t>Đăng nhập Claim Officer hợp lệ</t>
  </si>
  <si>
    <t>1. Nhập email claim[at]example.com 2. Nhập mật khẩu đúng 3. Nhấn Đăng nhập</t>
  </si>
  <si>
    <t>Hệ thống đăng nhập thành công; Chuyển đến trang chính với vai trò Claim Officer</t>
  </si>
  <si>
    <t>TC-12</t>
  </si>
  <si>
    <t>Là Underwriter/Claim Officer, tôi muốn đăng nhập bằng Gmail liên kết</t>
  </si>
  <si>
    <t>Đăng nhập bằng Gmail</t>
  </si>
  <si>
    <t>Tài khoản đã liên kết Google</t>
  </si>
  <si>
    <t>Kiểm tra đăng nhập bằng Google</t>
  </si>
  <si>
    <t>1. Nhấn Đăng nhập bằng Google 2. Chọn tài khoản Google đã liên kết</t>
  </si>
  <si>
    <t>Hệ thống xác thực Google thành công; Chuyển đến trang chính với vai trò tương ứng</t>
  </si>
  <si>
    <t>TC-13</t>
  </si>
  <si>
    <t>Là người dùng, tôi muốn nhận cảnh báo nếu tài khoản Google chưa liên kết</t>
  </si>
  <si>
    <t>Google account chưa tồn tại trong hệ thống</t>
  </si>
  <si>
    <t>Kiểm tra xử lý khi Google chưa liên kết</t>
  </si>
  <si>
    <t>1. Nhấn Đăng nhập bằng Google 2. Chọn tài khoản chưa liên kết</t>
  </si>
  <si>
    <t>Hệ thống không đăng nhập; Hiển thị thông báo tài khoản Google chưa được liên kết</t>
  </si>
  <si>
    <t>TC-14</t>
  </si>
  <si>
    <t>Là Underwriter/Claim Officer, tôi muốn biết khi nhập sai mật khẩu</t>
  </si>
  <si>
    <t>Tài khoản tồn tại nhưng nhập sai mật khẩu</t>
  </si>
  <si>
    <t>Kiểm tra nhập sai mật khẩu</t>
  </si>
  <si>
    <t>1. Nhập email hợp lệ 2. Nhập mật khẩu sai 3. Nhấn Đăng nhập</t>
  </si>
  <si>
    <t>Hệ thống không đăng nhập; Hiển thị thông báo sai email hoặc mật khẩu</t>
  </si>
  <si>
    <t>TC-15</t>
  </si>
  <si>
    <t>Là Underwriter/Claim Officer, tôi muốn được yêu cầu reset mật khẩu khi quên</t>
  </si>
  <si>
    <t>Underwriter/Claim Officer quên mật khẩu</t>
  </si>
  <si>
    <t>Kiểm tra reset password</t>
  </si>
  <si>
    <t>1. Nhấn Forgot Password 2. Nhập email hợp lệ 3. Nhấn Gửi yêu cầu</t>
  </si>
  <si>
    <t>Hệ thống gửi email reset thành công; Hiển thị thông báo gửi thành công</t>
  </si>
  <si>
    <t>TC-16</t>
  </si>
  <si>
    <t>Là Underwriter/Claim Officer, tôi muốn đổi mật khẩu thành công qua link email</t>
  </si>
  <si>
    <t>Đặt lại mật khẩu</t>
  </si>
  <si>
    <t>Đã nhận email reset; Link còn hiệu lực</t>
  </si>
  <si>
    <t>Kiểm tra đặt lại mật khẩu</t>
  </si>
  <si>
    <t>1. Mở email reset 2. Nhấn link 3. Nhập mật khẩu mới và xác nhận 4. Nhấn Lưu</t>
  </si>
  <si>
    <t>Hệ thống đổi mật khẩu thành công; Hiển thị thông báo mật khẩu đã được cập nhật</t>
  </si>
  <si>
    <t>TC-17</t>
  </si>
  <si>
    <t>Là Underwriter/Claim Officer, tôi muốn thấy lỗi nếu mật khẩu xác nhận không khớp</t>
  </si>
  <si>
    <t>Link đặt lại còn hiệu lực</t>
  </si>
  <si>
    <t>Kiểm tra lỗi xác nhận không khớp</t>
  </si>
  <si>
    <t>1. Nhập mật khẩu mới 2. Nhập xác nhận không khớp 3. Nhấn Xác nhận</t>
  </si>
  <si>
    <t>Hệ thống hiển thị cảnh báo mật khẩu xác nhận không trùng khớp</t>
  </si>
  <si>
    <t>TC-18</t>
  </si>
  <si>
    <t>Là người dùng, tôi muốn quay lại màn hình đăng nhập nếu hủy đăng nhập bằng Google</t>
  </si>
  <si>
    <t>Đăng nhập Google</t>
  </si>
  <si>
    <t>Người dùng đang đăng nhập bằng Google</t>
  </si>
  <si>
    <t>Kiểm tra hủy trong popup Google</t>
  </si>
  <si>
    <t>1. Nhấn Đăng nhập bằng Google 2. Chọn Hủy tại popup</t>
  </si>
  <si>
    <t>Hệ thống không tạo phiên đăng nhập; Quay lại màn hình đăng nhập ban đầu</t>
  </si>
  <si>
    <t>Đăng Xuất</t>
  </si>
  <si>
    <t>Hiển thị thông tin user và nút Logout</t>
  </si>
  <si>
    <t>Hiển thị user + nút logout</t>
  </si>
  <si>
    <t>Người dùng đã đăng nhập</t>
  </si>
  <si>
    <t>Góc trái dưới hiển thị avatar, tên, chức danh và icon logout</t>
  </si>
  <si>
    <t>1. Đăng nhập bằng account hợp lệ; 2. Quan sát góc trái dưới màn hình</t>
  </si>
  <si>
    <t>Hiển thị avatar đúng; hiển thị tên và chức danh đúng; hiển thị icon logout (mũi tên)</t>
  </si>
  <si>
    <t>Mở dialog xác nhận khi click logout</t>
  </si>
  <si>
    <t>Dialog xác nhận logout</t>
  </si>
  <si>
    <t>User đang đăng nhập và nhấn icon logout</t>
  </si>
  <si>
    <t>Khi người dùng nhấn icon logout phải hiện dialog xác nhận</t>
  </si>
  <si>
    <t>1. Nhấn icon logout ở góc trái dưới; 2. Quan sát dialog hiển thị</t>
  </si>
  <si>
    <t>Hiển thị dialog xác nhận với 2 tùy chọn: Xác nhận (Logout) và Hủy</t>
  </si>
  <si>
    <t>Logout thành công sau khi xác nhận</t>
  </si>
  <si>
    <t>Xoá session / redirect về login</t>
  </si>
  <si>
    <t>Dialog xác nhận hiển thị và user chọn xác nhận</t>
  </si>
  <si>
    <t>Sau xác nhận, user được đăng xuất và về trang Login</t>
  </si>
  <si>
    <t>1. Nhấn icon logout; 2. Nhấn nút Xác nhận trong dialog</t>
  </si>
  <si>
    <t>Người dùng được redirect về màn hình Login; session/token bị xoá; truy cập trang nội bộ trả về yêu cầu đăng nhập</t>
  </si>
  <si>
    <t>Kiểm tra multiple tabs sau logout (session sync)</t>
  </si>
  <si>
    <t>Đồng bộ logout giữa tab</t>
  </si>
  <si>
    <t>User đăng nhập trên nhiều tab</t>
  </si>
  <si>
    <t>Logout trên 1 tab phải khiến các tab khác redirect về Login</t>
  </si>
  <si>
    <t>1. Mở 2 tab cùng account; 2. Logout ở tab A; 3. Quan sát tab B</t>
  </si>
  <si>
    <t>Tab B tự động redirect về Login hoặc hiển thị thông báo phiên đã bị đăng xuất</t>
  </si>
  <si>
    <t>Accessibility / keyboard support cho logout</t>
  </si>
  <si>
    <t>Keyboard &amp; Screen reader</t>
  </si>
  <si>
    <t>User có nhu cầu hỗ trợ a11y</t>
  </si>
  <si>
    <t>Nút logout và dialog phải có keyboard focus &amp; ARIA labels</t>
  </si>
  <si>
    <t>1. Dùng phím Tab đến icon logout; 2. Nhấn Enter; 3. Dùng phím di chuyển trong dialog</t>
  </si>
  <si>
    <t>Icon có thể focus bằng keyboard; dialog có tiêu đề rõ ràng; có nút xác nhận/hủy có thể thao tác bằng keyboard; screen reader đọc được nội dung</t>
  </si>
  <si>
    <t>Quản lý Pham vi Bảo Hiểm</t>
  </si>
  <si>
    <t>User Story</t>
  </si>
  <si>
    <t>Là Admin, tôi muốn truy cập màn hình Quản lý Phạm vi Bảo hiểm</t>
  </si>
  <si>
    <t>Quản lý Phạm vi Bảo hiểm</t>
  </si>
  <si>
    <t>Truy cập màn hình</t>
  </si>
  <si>
    <t>Admin đã đăng nhập hệ thống</t>
  </si>
  <si>
    <t>Kiểm tra khả năng truy cập màn hình danh sách Phạm vi BH</t>
  </si>
  <si>
    <r>
      <t xml:space="preserve">1. Đăng nhập với quyền Admin;2. Chọn menu </t>
    </r>
    <r>
      <rPr>
        <b/>
        <sz val="11"/>
        <color theme="1"/>
        <rFont val="Aptos Narrow"/>
        <family val="2"/>
        <scheme val="minor"/>
      </rPr>
      <t>Quản lý chung</t>
    </r>
    <r>
      <rPr>
        <sz val="11"/>
        <color theme="1"/>
        <rFont val="Aptos Narrow"/>
        <family val="2"/>
        <scheme val="minor"/>
      </rPr>
      <t xml:space="preserve">;3. Chọn </t>
    </r>
    <r>
      <rPr>
        <b/>
        <sz val="11"/>
        <color theme="1"/>
        <rFont val="Aptos Narrow"/>
        <family val="2"/>
        <scheme val="minor"/>
      </rPr>
      <t>Phạm vi bảo hiểm</t>
    </r>
  </si>
  <si>
    <r>
      <t xml:space="preserve">Hệ thống hiển thị màn hình </t>
    </r>
    <r>
      <rPr>
        <b/>
        <sz val="11"/>
        <color theme="1"/>
        <rFont val="Aptos Narrow"/>
        <family val="2"/>
        <scheme val="minor"/>
      </rPr>
      <t>Quản lý Phạm vi Bảo hiểm</t>
    </r>
  </si>
  <si>
    <t>Là Admin, tôi muốn xem danh sách Phạm vi BH</t>
  </si>
  <si>
    <t>.</t>
  </si>
  <si>
    <t>Đang ở màn hình Quản lý Phạm vi BH</t>
  </si>
  <si>
    <t>Hiển thị danh sách phạm vi bảo hiểm</t>
  </si>
  <si>
    <t>1. Truy cập màn hình danh sách</t>
  </si>
  <si>
    <t>Hiển thị danh sách gồm: Tên phạm vi BH, Cơ sở bồi thường, nút Sửa/Xóa</t>
  </si>
  <si>
    <t>Là Admin, tôi muốn tìm kiếm Phạm vi BH</t>
  </si>
  <si>
    <t>Tìm kiếm</t>
  </si>
  <si>
    <t>Có dữ liệu phạm vi BH</t>
  </si>
  <si>
    <t>Tìm kiếm theo tên phạm vi bảo hiểm</t>
  </si>
  <si>
    <r>
      <t xml:space="preserve">1. Nhập từ khóa vào ô </t>
    </r>
    <r>
      <rPr>
        <b/>
        <sz val="11"/>
        <color theme="1"/>
        <rFont val="Aptos Narrow"/>
        <family val="2"/>
        <scheme val="minor"/>
      </rPr>
      <t>Tìm kiếm</t>
    </r>
    <r>
      <rPr>
        <sz val="11"/>
        <color theme="1"/>
        <rFont val="Aptos Narrow"/>
        <family val="2"/>
        <scheme val="minor"/>
      </rPr>
      <t>;2. Quan sát danh sách</t>
    </r>
  </si>
  <si>
    <t>Chỉ hiển thị các bản ghi phù hợp với từ khóa</t>
  </si>
  <si>
    <t>Là Admin, tôi muốn sắp xếp theo thứ tự tăng dần cho cột Tên phạm vi BH</t>
  </si>
  <si>
    <t>Quản lý Loại hình BH</t>
  </si>
  <si>
    <t>Xem danh sách</t>
  </si>
  <si>
    <t>Đang ở màn hình danh sách</t>
  </si>
  <si>
    <t>Sắp xếp tăng dần  cho cột Tên viết tắt</t>
  </si>
  <si>
    <t xml:space="preserve">1. Sắp xếp cột Tên phạm vi BH tăng dần
</t>
  </si>
  <si>
    <t>1. Hiển thị đúng tên phạm vi BH tăng dần</t>
  </si>
  <si>
    <t>Là Admin, tôi muốn sắp xếp theo thứ tự giảm dần cho cột Tên phạm vi BH</t>
  </si>
  <si>
    <t>Sắp xếp  giảm dần cho cột Tên đầy đủ</t>
  </si>
  <si>
    <t>1. Sắp xếp cột Tên phạm vi BH giảm dần</t>
  </si>
  <si>
    <t>1. Hiển thị đúng tên  phạm vi BH giảm dần</t>
  </si>
  <si>
    <t>TC-06</t>
  </si>
  <si>
    <t>Là Admin, tôi muốn phân trang danh sách</t>
  </si>
  <si>
    <t>Phân trang</t>
  </si>
  <si>
    <t>Có nhiều hơn 1 trang dữ liệu</t>
  </si>
  <si>
    <t>Kiểm tra điều hướng trang</t>
  </si>
  <si>
    <r>
      <t xml:space="preserve">1. Nhấn </t>
    </r>
    <r>
      <rPr>
        <b/>
        <sz val="11"/>
        <color theme="1"/>
        <rFont val="Aptos Narrow"/>
        <family val="2"/>
        <scheme val="minor"/>
      </rPr>
      <t>Trang tiếp</t>
    </r>
    <r>
      <rPr>
        <sz val="11"/>
        <color theme="1"/>
        <rFont val="Aptos Narrow"/>
        <family val="2"/>
        <scheme val="minor"/>
      </rPr>
      <t xml:space="preserve">;2. Nhấn </t>
    </r>
    <r>
      <rPr>
        <b/>
        <sz val="11"/>
        <color theme="1"/>
        <rFont val="Aptos Narrow"/>
        <family val="2"/>
        <scheme val="minor"/>
      </rPr>
      <t>Trang trước</t>
    </r>
    <r>
      <rPr>
        <sz val="11"/>
        <color theme="1"/>
        <rFont val="Aptos Narrow"/>
        <family val="2"/>
        <scheme val="minor"/>
      </rPr>
      <t>;3. Chọn số trang</t>
    </r>
  </si>
  <si>
    <t>Dữ liệu hiển thị đúng theo trang được chọn</t>
  </si>
  <si>
    <t>Là Admin, tôi muốn mở màn hình tạo mới Phạm vi BH</t>
  </si>
  <si>
    <t>Mở form tạo mới</t>
  </si>
  <si>
    <t>Điều hướng sang màn hình tạo mới</t>
  </si>
  <si>
    <r>
      <t xml:space="preserve">1. Nhấn </t>
    </r>
    <r>
      <rPr>
        <b/>
        <sz val="11"/>
        <color theme="1"/>
        <rFont val="Aptos Narrow"/>
        <family val="2"/>
        <scheme val="minor"/>
      </rPr>
      <t>+ Thêm Phạm vi Bảo hiểm</t>
    </r>
  </si>
  <si>
    <r>
      <t xml:space="preserve">Hệ thống mở màn hình </t>
    </r>
    <r>
      <rPr>
        <b/>
        <sz val="11"/>
        <color theme="1"/>
        <rFont val="Aptos Narrow"/>
        <family val="2"/>
        <scheme val="minor"/>
      </rPr>
      <t>Tạo phạm vi bảo hiểm</t>
    </r>
  </si>
  <si>
    <t>Là Admin, tôi muốn tạo Phạm vi BH với dữ liệu hợp lệ</t>
  </si>
  <si>
    <t>Tạo mới</t>
  </si>
  <si>
    <t>Đang ở màn hình Tạo phạm vi BH</t>
  </si>
  <si>
    <t>Tạo mới phạm vi bảo hiểm thành công</t>
  </si>
  <si>
    <r>
      <t xml:space="preserve">1. Nhập Tên phạm vi BH;2. Nhập Cơ sở bồi thường;3. Chọn Trạng thái;4. Nhấn </t>
    </r>
    <r>
      <rPr>
        <b/>
        <sz val="11"/>
        <color theme="1"/>
        <rFont val="Aptos Narrow"/>
        <family val="2"/>
        <scheme val="minor"/>
      </rPr>
      <t>Tạo phạm vi bảo hiểm</t>
    </r>
  </si>
  <si>
    <t>Phạm vi BH được tạo thành công và hiển thị trong danh sách</t>
  </si>
  <si>
    <t>Là Admin, tôi không muốn tạo khi thiếu Tên phạm vi BH</t>
  </si>
  <si>
    <t>Validate dữ liệu</t>
  </si>
  <si>
    <t>Đang ở màn hình Tạo mới</t>
  </si>
  <si>
    <t>Kiểm tra validate trường bắt buộc</t>
  </si>
  <si>
    <r>
      <t xml:space="preserve">1. Để trống Tên phạm vi BH;2. Nhấn </t>
    </r>
    <r>
      <rPr>
        <b/>
        <sz val="11"/>
        <color theme="1"/>
        <rFont val="Aptos Narrow"/>
        <family val="2"/>
        <scheme val="minor"/>
      </rPr>
      <t>Tạo phạm vi bảo hiểm</t>
    </r>
  </si>
  <si>
    <t>Hiển thị thông báo lỗi yêu cầu nhập Tên phạm vi BH</t>
  </si>
  <si>
    <t>Là Admin, tôi không muốn tạo khi thiếu Cơ sở bồi thường</t>
  </si>
  <si>
    <r>
      <rPr>
        <sz val="11"/>
        <color rgb="FF000000"/>
        <rFont val="Aptos Narrow"/>
        <scheme val="minor"/>
      </rPr>
      <t xml:space="preserve">1. Để trống Cơ sở bồi thường;2. Nhấn </t>
    </r>
    <r>
      <rPr>
        <b/>
        <sz val="11"/>
        <color rgb="FF000000"/>
        <rFont val="Aptos Narrow"/>
        <scheme val="minor"/>
      </rPr>
      <t>Tạo phạm vi bảo hiểm</t>
    </r>
  </si>
  <si>
    <t>Hiển thị thông báo lỗi yêu cầu nhập Cơ sở bồi thường</t>
  </si>
  <si>
    <t>Là Admin, tôi muốn thêm Mức khấu trừ</t>
  </si>
  <si>
    <t>Thêm mức khấu trừ</t>
  </si>
  <si>
    <t>Đang ở màn hình Tạo/Sửa</t>
  </si>
  <si>
    <t>Thêm danh sách mức khấu trừ</t>
  </si>
  <si>
    <r>
      <t xml:space="preserve">1. Nhấn </t>
    </r>
    <r>
      <rPr>
        <b/>
        <sz val="11"/>
        <color theme="1"/>
        <rFont val="Aptos Narrow"/>
        <family val="2"/>
        <scheme val="minor"/>
      </rPr>
      <t>+ Thêm mức khấu trừ</t>
    </r>
    <r>
      <rPr>
        <sz val="11"/>
        <color theme="1"/>
        <rFont val="Aptos Narrow"/>
        <family val="2"/>
        <scheme val="minor"/>
      </rPr>
      <t>;2. Nhập thông tin mức khấu trừ</t>
    </r>
  </si>
  <si>
    <t>Mức khấu trừ được thêm vào danh sách</t>
  </si>
  <si>
    <t>Là Admin, tôi muốn cho phép thêm hạng mục</t>
  </si>
  <si>
    <t>Cho phép thêm hạng mục</t>
  </si>
  <si>
    <t>Bật tùy chọn cho phép thêm hạng mục</t>
  </si>
  <si>
    <r>
      <t xml:space="preserve">1. Tick checkbox </t>
    </r>
    <r>
      <rPr>
        <b/>
        <sz val="11"/>
        <color theme="1"/>
        <rFont val="Aptos Narrow"/>
        <family val="2"/>
        <scheme val="minor"/>
      </rPr>
      <t>Cho phép thêm hạng mục</t>
    </r>
  </si>
  <si>
    <t>Checkbox được chọn và lưu đúng trạng thái</t>
  </si>
  <si>
    <t>Là Admin, tôi muốn hủy tạo mới</t>
  </si>
  <si>
    <t>Bỏ qua</t>
  </si>
  <si>
    <t>Quay lại danh sách mà không lưu</t>
  </si>
  <si>
    <r>
      <t xml:space="preserve">1. Nhấn </t>
    </r>
    <r>
      <rPr>
        <b/>
        <sz val="11"/>
        <color theme="1"/>
        <rFont val="Aptos Narrow"/>
        <family val="2"/>
        <scheme val="minor"/>
      </rPr>
      <t>Bỏ qua</t>
    </r>
  </si>
  <si>
    <t>Quay về màn hình danh sách, dữ liệu không được lưu</t>
  </si>
  <si>
    <t>Là Admin, tôi muốn mở màn hình sửa Phạm vi BH</t>
  </si>
  <si>
    <t>Mở form chỉnh sửa</t>
  </si>
  <si>
    <t>Có sẵn Phạm vi BH</t>
  </si>
  <si>
    <t>Điều hướng sang màn hình sửa</t>
  </si>
  <si>
    <r>
      <t xml:space="preserve">1. Nhấn icon </t>
    </r>
    <r>
      <rPr>
        <b/>
        <sz val="11"/>
        <color theme="1"/>
        <rFont val="Aptos Narrow"/>
        <family val="2"/>
        <scheme val="minor"/>
      </rPr>
      <t>Sửa</t>
    </r>
    <r>
      <rPr>
        <sz val="11"/>
        <color theme="1"/>
        <rFont val="Aptos Narrow"/>
        <family val="2"/>
        <scheme val="minor"/>
      </rPr>
      <t xml:space="preserve"> tại 1 bản ghi</t>
    </r>
  </si>
  <si>
    <r>
      <t xml:space="preserve">Mở màn hình </t>
    </r>
    <r>
      <rPr>
        <b/>
        <sz val="11"/>
        <color theme="1"/>
        <rFont val="Aptos Narrow"/>
        <family val="2"/>
        <scheme val="minor"/>
      </rPr>
      <t>Sửa phạm vi bảo hiểm</t>
    </r>
    <r>
      <rPr>
        <sz val="11"/>
        <color theme="1"/>
        <rFont val="Aptos Narrow"/>
        <family val="2"/>
        <scheme val="minor"/>
      </rPr>
      <t xml:space="preserve"> với dữ liệu đã có</t>
    </r>
  </si>
  <si>
    <t>Là Admin, tôi không muốn sửa  khi thiếu Tên phạm vi BH</t>
  </si>
  <si>
    <t>Đang ở màn hình Sửa</t>
  </si>
  <si>
    <r>
      <rPr>
        <sz val="11"/>
        <color rgb="FF000000"/>
        <rFont val="Aptos Narrow"/>
        <scheme val="minor"/>
      </rPr>
      <t xml:space="preserve">1. Để trống Tên phạm vi BH;2. Nhấn </t>
    </r>
    <r>
      <rPr>
        <b/>
        <sz val="11"/>
        <color rgb="FF000000"/>
        <rFont val="Aptos Narrow"/>
        <scheme val="minor"/>
      </rPr>
      <t>Lưu chỉnh sửa</t>
    </r>
  </si>
  <si>
    <t>Là Admin, tôi không muốn sửa khi thiếu Cơ sở bồi thường</t>
  </si>
  <si>
    <t>Đang ở màn hình sửa</t>
  </si>
  <si>
    <r>
      <rPr>
        <sz val="11"/>
        <color rgb="FF000000"/>
        <rFont val="Aptos Narrow"/>
        <scheme val="minor"/>
      </rPr>
      <t xml:space="preserve">1. Để trống Cơ sở bồi thường;2. Nhấn </t>
    </r>
    <r>
      <rPr>
        <b/>
        <sz val="11"/>
        <color rgb="FF000000"/>
        <rFont val="Aptos Narrow"/>
        <scheme val="minor"/>
      </rPr>
      <t>Lưu chỉnh sửa</t>
    </r>
  </si>
  <si>
    <t>Là Admin, tôi muốn sửa Phạm vi BH với dữ liệu hợp lệ</t>
  </si>
  <si>
    <t>Sửa</t>
  </si>
  <si>
    <t>Đang ở màn hình Chỉnh sửa phạm vi BH</t>
  </si>
  <si>
    <t>1. Nhập Tên phạm vi BH;2. Nhập Cơ sở bồi thường;3. Chọn Trạng thái;4. Nhấn Lưu chỉnh sửa</t>
  </si>
  <si>
    <t>Phạm vi BH được câp nhật thành công và hiển thị trong danh sách</t>
  </si>
  <si>
    <t>Là Admin, tôi muốn xóa phạm vi BH</t>
  </si>
  <si>
    <t>Xóa</t>
  </si>
  <si>
    <t>Phạm vi  BH chưa được sử dụng</t>
  </si>
  <si>
    <t>Xóa bản ghi</t>
  </si>
  <si>
    <r>
      <t xml:space="preserve">1. Nhấn icon </t>
    </r>
    <r>
      <rPr>
        <b/>
        <sz val="11"/>
        <color theme="1"/>
        <rFont val="Aptos Narrow"/>
        <family val="2"/>
        <scheme val="minor"/>
      </rPr>
      <t>Xóa</t>
    </r>
    <r>
      <rPr>
        <sz val="11"/>
        <color theme="1"/>
        <rFont val="Aptos Narrow"/>
        <family val="2"/>
        <scheme val="minor"/>
      </rPr>
      <t xml:space="preserve">;2. Popup hiển thị;3. Nhấn </t>
    </r>
    <r>
      <rPr>
        <b/>
        <sz val="11"/>
        <color theme="1"/>
        <rFont val="Aptos Narrow"/>
        <family val="2"/>
        <scheme val="minor"/>
      </rPr>
      <t>Có, Xóa ngay</t>
    </r>
  </si>
  <si>
    <t>Loại hình BH bị xóa khỏi danh sách</t>
  </si>
  <si>
    <t>TC-19</t>
  </si>
  <si>
    <t>Là Admin, tôi muốn hủy xóa phạm vi BH</t>
  </si>
  <si>
    <t>Hủy xóa</t>
  </si>
  <si>
    <t>Popup xác nhận đang hiển thị</t>
  </si>
  <si>
    <t>Đóng popup</t>
  </si>
  <si>
    <r>
      <t xml:space="preserve">1. Nhấn </t>
    </r>
    <r>
      <rPr>
        <b/>
        <sz val="11"/>
        <color theme="1"/>
        <rFont val="Aptos Narrow"/>
        <family val="2"/>
        <scheme val="minor"/>
      </rPr>
      <t>Đóng</t>
    </r>
  </si>
  <si>
    <t>Popup đóng, dữ liệu không bị xóa</t>
  </si>
  <si>
    <t>TC-20</t>
  </si>
  <si>
    <t>Là Admin, tôi không thể xóa phạm vi BH đã được sử dụng</t>
  </si>
  <si>
    <t>Phạm vi  BH đã được dùng trong Loại hình BH</t>
  </si>
  <si>
    <t>Kiểm tra ràng buộc</t>
  </si>
  <si>
    <r>
      <t xml:space="preserve">1. Nhấn </t>
    </r>
    <r>
      <rPr>
        <b/>
        <sz val="11"/>
        <color theme="1"/>
        <rFont val="Aptos Narrow"/>
        <family val="2"/>
        <scheme val="minor"/>
      </rPr>
      <t>Xóa</t>
    </r>
  </si>
  <si>
    <t>Hiển thị thông báo không thể xóa</t>
  </si>
  <si>
    <t>TC-21</t>
  </si>
  <si>
    <t>Là Admin, tôi muốn quay lại danh sách từ màn hình Tạo/Sửa</t>
  </si>
  <si>
    <t>Quay lại</t>
  </si>
  <si>
    <t>Điều hướng</t>
  </si>
  <si>
    <r>
      <t xml:space="preserve">1. Nhấn </t>
    </r>
    <r>
      <rPr>
        <b/>
        <sz val="11"/>
        <color theme="1"/>
        <rFont val="Aptos Narrow"/>
        <family val="2"/>
        <scheme val="minor"/>
      </rPr>
      <t>Quay lại</t>
    </r>
  </si>
  <si>
    <t>Quay về màn hình danh sách</t>
  </si>
  <si>
    <t>Quản lý Mức khấu trừ</t>
  </si>
  <si>
    <t>Là Admin, tôi muốn truy cập màn hình Quản lý Mức khấu trừ</t>
  </si>
  <si>
    <t>Admin đã đăng nhập</t>
  </si>
  <si>
    <t>Kiểm tra truy cập màn hình danh sách</t>
  </si>
  <si>
    <r>
      <t xml:space="preserve">1. Đăng nhập bằng tài khoản Admin;2. Chọn </t>
    </r>
    <r>
      <rPr>
        <b/>
        <sz val="11"/>
        <color theme="1"/>
        <rFont val="Aptos Narrow"/>
        <family val="2"/>
        <scheme val="minor"/>
      </rPr>
      <t>Quản lý chung</t>
    </r>
    <r>
      <rPr>
        <sz val="11"/>
        <color theme="1"/>
        <rFont val="Aptos Narrow"/>
        <family val="2"/>
        <scheme val="minor"/>
      </rPr>
      <t xml:space="preserve">;3. Chọn </t>
    </r>
    <r>
      <rPr>
        <b/>
        <sz val="11"/>
        <color theme="1"/>
        <rFont val="Aptos Narrow"/>
        <family val="2"/>
        <scheme val="minor"/>
      </rPr>
      <t>Mức khấu trừ</t>
    </r>
  </si>
  <si>
    <r>
      <t xml:space="preserve">Hệ thống hiển thị màn hình </t>
    </r>
    <r>
      <rPr>
        <b/>
        <sz val="11"/>
        <color theme="1"/>
        <rFont val="Aptos Narrow"/>
        <family val="2"/>
        <scheme val="minor"/>
      </rPr>
      <t>Quản lý Mức khấu trừ</t>
    </r>
  </si>
  <si>
    <t>Là Admin, tôi muốn xem danh sách Mức khấu trừ</t>
  </si>
  <si>
    <t>Đang ở màn hình Quản lý</t>
  </si>
  <si>
    <t>Hiển thị danh sách mức khấu trừ</t>
  </si>
  <si>
    <t>Hiển thị các cột: Tên mức khấu trừ, Mức khấu trừ , nút Sửa/Xóa</t>
  </si>
  <si>
    <t>Là Admin, tôi muốn tìm kiếm Mức khấu trừ</t>
  </si>
  <si>
    <t>Có dữ liệu mức khấu trừ</t>
  </si>
  <si>
    <t>Tìm kiếm theo tên mức khấu trừ</t>
  </si>
  <si>
    <r>
      <t xml:space="preserve">1. Nhập từ khóa vào ô </t>
    </r>
    <r>
      <rPr>
        <b/>
        <sz val="11"/>
        <color theme="1"/>
        <rFont val="Aptos Narrow"/>
        <family val="2"/>
        <scheme val="minor"/>
      </rPr>
      <t>Tìm kiếm</t>
    </r>
  </si>
  <si>
    <t>Danh sách hiển thị đúng các bản ghi phù hợp</t>
  </si>
  <si>
    <t>Có nhiều trang dữ liệu</t>
  </si>
  <si>
    <t>Điều hướng giữa các trang</t>
  </si>
  <si>
    <r>
      <t xml:space="preserve">1. Nhấn </t>
    </r>
    <r>
      <rPr>
        <b/>
        <sz val="11"/>
        <color theme="1"/>
        <rFont val="Aptos Narrow"/>
        <family val="2"/>
        <scheme val="minor"/>
      </rPr>
      <t>Trang tiếp / Trang trước</t>
    </r>
    <r>
      <rPr>
        <sz val="11"/>
        <color theme="1"/>
        <rFont val="Aptos Narrow"/>
        <family val="2"/>
        <scheme val="minor"/>
      </rPr>
      <t>;2. Chọn số trang</t>
    </r>
  </si>
  <si>
    <t>Dữ liệu hiển thị đúng theo trang</t>
  </si>
  <si>
    <t>Là Admin, tôi muốn sắp xếp theo thứ tự tăng dần cho cột Tên mức khấu trừ</t>
  </si>
  <si>
    <t>Sắp xếp tăng dần  cho cột tên Tên mức khấu trừ</t>
  </si>
  <si>
    <t>1. Sắp xếp cột Tên mức khấu trừ</t>
  </si>
  <si>
    <t>1. Hiển thị đúng Tên mức khấu trừ</t>
  </si>
  <si>
    <t>Là Admin, tôi muốn sắp xếp theo thứ tự giảm dần cho cột Tên mức khấu trừ</t>
  </si>
  <si>
    <t>Sắp xếp  giảm dần cho cột Tên mức khấu trừ</t>
  </si>
  <si>
    <t>1. Sắp xếp cột  Tên mức khấu trừ</t>
  </si>
  <si>
    <t>Là Admin, tôi muốn mở màn hình tạo Mức khấu trừ</t>
  </si>
  <si>
    <t>Điều hướng sang màn hình tạo</t>
  </si>
  <si>
    <r>
      <t xml:space="preserve">1. Nhấn </t>
    </r>
    <r>
      <rPr>
        <b/>
        <sz val="11"/>
        <color theme="1"/>
        <rFont val="Aptos Narrow"/>
        <family val="2"/>
        <scheme val="minor"/>
      </rPr>
      <t>+ Thêm mức khấu trừ</t>
    </r>
  </si>
  <si>
    <r>
      <t xml:space="preserve">Mở màn hình </t>
    </r>
    <r>
      <rPr>
        <b/>
        <sz val="11"/>
        <color theme="1"/>
        <rFont val="Aptos Narrow"/>
        <family val="2"/>
        <scheme val="minor"/>
      </rPr>
      <t>Tạo Mức khấu trừ</t>
    </r>
  </si>
  <si>
    <t>Là Admin, tôi muốn tạo Mức khấu trừ hợp lệ</t>
  </si>
  <si>
    <t>Đang ở màn hình Tạo</t>
  </si>
  <si>
    <t>Tạo mới thành công</t>
  </si>
  <si>
    <r>
      <rPr>
        <sz val="11"/>
        <color rgb="FF000000"/>
        <rFont val="Aptos Narrow"/>
        <scheme val="minor"/>
      </rPr>
      <t xml:space="preserve">1. Nhập Tên mức khấu trừ;2. Nhập Mức khấu trừ  3. Nhấn </t>
    </r>
    <r>
      <rPr>
        <b/>
        <sz val="11"/>
        <color rgb="FF000000"/>
        <rFont val="Aptos Narrow"/>
        <scheme val="minor"/>
      </rPr>
      <t>Tạo mức khấu trừ</t>
    </r>
  </si>
  <si>
    <t>Mức khấu trừ được tạo thành công và hiển thị trong danh sách</t>
  </si>
  <si>
    <t>Là Admin, tôi không thể tạo khi thiếu Tên mức khấu trừ</t>
  </si>
  <si>
    <t>Kiểm tra trường bắt buộc</t>
  </si>
  <si>
    <r>
      <rPr>
        <sz val="11"/>
        <color rgb="FF000000"/>
        <rFont val="Aptos Narrow"/>
        <scheme val="minor"/>
      </rPr>
      <t xml:space="preserve">1. Để trống Tên mức khấu trừ;2. Nhấn </t>
    </r>
    <r>
      <rPr>
        <b/>
        <sz val="11"/>
        <color rgb="FF000000"/>
        <rFont val="Aptos Narrow"/>
        <scheme val="minor"/>
      </rPr>
      <t>Tạo mức khấu trừ</t>
    </r>
  </si>
  <si>
    <t>Hiển thị thông báo yêu cầu nhập Tên mức khấu trừ</t>
  </si>
  <si>
    <t>Là Admin tôi không thể tạo khi nhập tên mức khấu trừ đã tồn tại</t>
  </si>
  <si>
    <t>1. Nhập tên mức khấu trừ đã tồn tại
2. Nhấn "Tạo mức khấu trừ"</t>
  </si>
  <si>
    <t>Hiển thị thông báo Tên mức khấu trừ đã tồn tại</t>
  </si>
  <si>
    <t>Là Admin, tôi muốn hủy thao tác tạo mới</t>
  </si>
  <si>
    <t>Không lưu dữ liệu</t>
  </si>
  <si>
    <t>Quay về màn hình danh sách, không tạo bản ghi</t>
  </si>
  <si>
    <t>1. Nhấn Quay lại</t>
  </si>
  <si>
    <t>Là Admin, tôi muốn mở màn hình sửa Mức khấu trừ</t>
  </si>
  <si>
    <t>Có sẵn mức khấu trừ</t>
  </si>
  <si>
    <r>
      <t xml:space="preserve">Mở màn hình </t>
    </r>
    <r>
      <rPr>
        <b/>
        <sz val="11"/>
        <color theme="1"/>
        <rFont val="Aptos Narrow"/>
        <family val="2"/>
        <scheme val="minor"/>
      </rPr>
      <t>Sửa mức khấu trừ</t>
    </r>
    <r>
      <rPr>
        <sz val="11"/>
        <color theme="1"/>
        <rFont val="Aptos Narrow"/>
        <family val="2"/>
        <scheme val="minor"/>
      </rPr>
      <t xml:space="preserve"> với dữ liệu đã có</t>
    </r>
  </si>
  <si>
    <t>Là Admin, tôi muốn cập nhật Mức khấu trừ</t>
  </si>
  <si>
    <t>Chỉnh sửa</t>
  </si>
  <si>
    <t>Lưu thay đổi</t>
  </si>
  <si>
    <r>
      <rPr>
        <sz val="11"/>
        <color rgb="FF000000"/>
        <rFont val="Aptos Narrow"/>
        <scheme val="minor"/>
      </rPr>
      <t xml:space="preserve">1. Thay đổi Tên/Mức;2. Nhấn </t>
    </r>
    <r>
      <rPr>
        <b/>
        <sz val="11"/>
        <color rgb="FF000000"/>
        <rFont val="Aptos Narrow"/>
        <scheme val="minor"/>
      </rPr>
      <t>Lưu chỉnh sửa</t>
    </r>
  </si>
  <si>
    <t>Dữ liệu được cập nhật thành công</t>
  </si>
  <si>
    <t>1. Để trống Tên mức khấu trừ;2. Nhấn Lưu chỉnh sửa</t>
  </si>
  <si>
    <t>Là Admin tôi không thể cập nhật khi nhập tên mức khấu trừ đã tồn tại</t>
  </si>
  <si>
    <t>1. Chỉnh sửa  tên mức khấu trừ đã tồn tại
2. Nhấn "Lưu chỉnh sửa"</t>
  </si>
  <si>
    <t>Là Admin tôi có thể nhấn vào 
icon xóa mức khẩu trừ</t>
  </si>
  <si>
    <t>Đang ở màn hình danh sách mức khấu trừ</t>
  </si>
  <si>
    <t>Hiển thị giao diện xóa</t>
  </si>
  <si>
    <t>1. Nhấn vào icon xóa</t>
  </si>
  <si>
    <t>Hiển thị popup xóa</t>
  </si>
  <si>
    <t>"Là Admin tôi có thể xóa khi nhấn vào nút "Có, Xóa ngay"</t>
  </si>
  <si>
    <t>Đang ở popup xóa</t>
  </si>
  <si>
    <t>1. Nhấn vào nút "Có, Xóa ngay"</t>
  </si>
  <si>
    <t>Hiển thị thông báo xóa thành công</t>
  </si>
  <si>
    <t xml:space="preserve">"Là Admin khi nhấn vào nút </t>
  </si>
  <si>
    <t>1. Nhấn vào nút "Đóng"</t>
  </si>
  <si>
    <t xml:space="preserve">Đóng popup và không xóa quay lại màn hình khẩu trừ </t>
  </si>
  <si>
    <t>Là Admin khi tôi xóa mức khẩu trừ 
đang được sử dụng sẽ hiển thị lỗi không cho phép xóa</t>
  </si>
  <si>
    <t>Mức khấu trừ đang được dùng trong phạm vi BH</t>
  </si>
  <si>
    <t>Quản lý Loại hình Bảo Hiểm</t>
  </si>
  <si>
    <t>Là Admin, tôi muốn truy cập màn hình Quản lý Loại hình BH</t>
  </si>
  <si>
    <r>
      <t xml:space="preserve">1. Đăng nhập bằng tài khoản Admin;2. Chọn </t>
    </r>
    <r>
      <rPr>
        <b/>
        <sz val="11"/>
        <color theme="1"/>
        <rFont val="Aptos Narrow"/>
        <family val="2"/>
        <scheme val="minor"/>
      </rPr>
      <t>Quản lý chung</t>
    </r>
    <r>
      <rPr>
        <sz val="11"/>
        <color theme="1"/>
        <rFont val="Aptos Narrow"/>
        <family val="2"/>
        <scheme val="minor"/>
      </rPr>
      <t xml:space="preserve">;3. Chọn </t>
    </r>
    <r>
      <rPr>
        <b/>
        <sz val="11"/>
        <color theme="1"/>
        <rFont val="Aptos Narrow"/>
        <family val="2"/>
        <scheme val="minor"/>
      </rPr>
      <t>Loại hình bảo hiểm</t>
    </r>
  </si>
  <si>
    <r>
      <t xml:space="preserve">Hệ thống hiển thị màn hình </t>
    </r>
    <r>
      <rPr>
        <b/>
        <sz val="11"/>
        <color theme="1"/>
        <rFont val="Aptos Narrow"/>
        <family val="2"/>
        <scheme val="minor"/>
      </rPr>
      <t>Loại hình bảo hiểm</t>
    </r>
  </si>
  <si>
    <t>Là Admin, tôi muốn xem danh sách Loại hình BH</t>
  </si>
  <si>
    <t>Hiển thị danh sách loại hình</t>
  </si>
  <si>
    <t>Hiển thị danh sách gồm: Tên viết tắt, Tên đầy đủ và Phạm vi bảo hiểm, nút Sửa/ Xóa</t>
  </si>
  <si>
    <t>Là Admin, tôi muốn sắp xếp theo thứ tự tăng dần và giảm dần cho cột Tên viết tắt</t>
  </si>
  <si>
    <t>Sắp xếp tăng dần và giảm dần cho cột Tên viết tắt</t>
  </si>
  <si>
    <t>1. Sắp xếp cột Tên viết tắt tăng dần
2. Sắp xếp cột tên viết tắt giảm dần</t>
  </si>
  <si>
    <t>1. Hiển thị đúng tên viết tắt tăng dần
2. Hiển thị đúng tên viết tắt tăng dần</t>
  </si>
  <si>
    <t>Là Admin, tôi muốn sắp xếp theo thứ tự tăng dần và giảm dần cho cột Tên đầy đủ</t>
  </si>
  <si>
    <t>Sắp xếp tăng dần và giảm dần cho cột Tên đầy đủ</t>
  </si>
  <si>
    <t>1. Sắp xếp cột Tên đầy đủ tăng dần
2. Sắp xếp cột tên đầy đủ giảm dần</t>
  </si>
  <si>
    <t>1. Hiển thị đúng tên  đầy đủ tăng dần
2. Hiển thị đúng tên  đầy đủ tăng dần</t>
  </si>
  <si>
    <t xml:space="preserve">Là Admin, tôi muốn chọn số hàng  hiển thị trong 1 trang </t>
  </si>
  <si>
    <t xml:space="preserve">Chọn số item hiển thị trong trang </t>
  </si>
  <si>
    <t xml:space="preserve">1. Nhấn chọn số hàng mỗi trang </t>
  </si>
  <si>
    <t>Hiển thị đúng số item trong 1 trang</t>
  </si>
  <si>
    <t>Điều hướng danh sách</t>
  </si>
  <si>
    <t>1. Nhấn Trang tiếp / Trang trước;2. Chọn số trang</t>
  </si>
  <si>
    <t>Là Admin, tôi muốn mở màn hình tạo Loại hình BH</t>
  </si>
  <si>
    <r>
      <rPr>
        <sz val="11"/>
        <color rgb="FF000000"/>
        <rFont val="Aptos Narrow"/>
        <scheme val="minor"/>
      </rPr>
      <t xml:space="preserve">1. Nhấn </t>
    </r>
    <r>
      <rPr>
        <b/>
        <sz val="11"/>
        <color rgb="FF000000"/>
        <rFont val="Aptos Narrow"/>
        <scheme val="minor"/>
      </rPr>
      <t>+ Thêm loại hình bảo hiểm</t>
    </r>
  </si>
  <si>
    <r>
      <t xml:space="preserve">Mở màn hình </t>
    </r>
    <r>
      <rPr>
        <b/>
        <sz val="11"/>
        <color theme="1"/>
        <rFont val="Aptos Narrow"/>
        <family val="2"/>
        <scheme val="minor"/>
      </rPr>
      <t>Tạo loại hình bảo hiểm</t>
    </r>
  </si>
  <si>
    <t>Là Admin, tôi muốn tạo Loại hình BH hợp lệ</t>
  </si>
  <si>
    <r>
      <rPr>
        <sz val="11"/>
        <color rgb="FF000000"/>
        <rFont val="Aptos Narrow"/>
        <scheme val="minor"/>
      </rPr>
      <t xml:space="preserve">1. Nhập Tên loại hình bảo hiểm đầy đủ;2. Nhập tên viết tắt 3. Nhập Tài sản và quyền lợi bảo hiểm;4. Thêm Phạm vi bảo hiểm;5. Chọn Nhóm tổn thất;6. Chọn Bộ điều khoản bổ sung;7. Nhấn </t>
    </r>
    <r>
      <rPr>
        <b/>
        <sz val="11"/>
        <color rgb="FF000000"/>
        <rFont val="Aptos Narrow"/>
        <scheme val="minor"/>
      </rPr>
      <t>Tạo loại hình bảo hiểm</t>
    </r>
  </si>
  <si>
    <t>Loại hình BH được tạo thành công và hiển thị trong danh sách</t>
  </si>
  <si>
    <t>Là Admin, tôi không thể tạo khi thiếu Tên loại hình BH</t>
  </si>
  <si>
    <r>
      <rPr>
        <sz val="11"/>
        <color rgb="FF000000"/>
        <rFont val="Aptos Narrow"/>
        <scheme val="minor"/>
      </rPr>
      <t xml:space="preserve">1. Để trống Tên loại hình BH đầy đủ ;2. Nhấn </t>
    </r>
    <r>
      <rPr>
        <b/>
        <sz val="11"/>
        <color rgb="FF000000"/>
        <rFont val="Aptos Narrow"/>
        <scheme val="minor"/>
      </rPr>
      <t xml:space="preserve">Tạo loại hình bảo hiểm </t>
    </r>
  </si>
  <si>
    <t>Hiển thị thông báo Trường này là bắt buộc</t>
  </si>
  <si>
    <r>
      <rPr>
        <sz val="11"/>
        <color rgb="FF000000"/>
        <rFont val="Aptos Narrow"/>
        <scheme val="minor"/>
      </rPr>
      <t xml:space="preserve">1. Để trống Tên viết tắt BH;2. Nhấn </t>
    </r>
    <r>
      <rPr>
        <b/>
        <sz val="11"/>
        <color rgb="FF000000"/>
        <rFont val="Aptos Narrow"/>
        <scheme val="minor"/>
      </rPr>
      <t xml:space="preserve">Tạo loại hình bảo hiểm </t>
    </r>
  </si>
  <si>
    <t>Là Admin, tôi không thể tạo khi thiếu Tài sản và quyền lợi BH</t>
  </si>
  <si>
    <r>
      <rPr>
        <sz val="11"/>
        <color rgb="FF000000"/>
        <rFont val="Aptos Narrow"/>
        <scheme val="minor"/>
      </rPr>
      <t xml:space="preserve">1. Để trống Tài sản và quyền lợi BH;2. Nhấn </t>
    </r>
    <r>
      <rPr>
        <b/>
        <sz val="11"/>
        <color rgb="FF000000"/>
        <rFont val="Aptos Narrow"/>
        <scheme val="minor"/>
      </rPr>
      <t>Tạo loại hình bảo hiểm</t>
    </r>
  </si>
  <si>
    <t>Hiển thị thông báo lỗi bắt buộc</t>
  </si>
  <si>
    <t>Là Admin, tôi không thể tạo khi chưa chọn Phạm vi BH</t>
  </si>
  <si>
    <r>
      <rPr>
        <sz val="11"/>
        <color rgb="FF000000"/>
        <rFont val="Aptos Narrow"/>
        <scheme val="minor"/>
      </rPr>
      <t xml:space="preserve">1. Không thêm Phạm vi bảo hiểm
2. Không thêm nhóm tổn thất
3. Không thêm Bộ điệu khoản bổ sung
4.  Nhấn </t>
    </r>
    <r>
      <rPr>
        <b/>
        <sz val="11"/>
        <color rgb="FF000000"/>
        <rFont val="Aptos Narrow"/>
        <scheme val="minor"/>
      </rPr>
      <t>Tạo loại hình bảo hiểm</t>
    </r>
  </si>
  <si>
    <t>Hiển thị thông báo trường này là bắt buộc</t>
  </si>
  <si>
    <t>Là Admin, tôi muốn thêm nhiều Phạm vi BH</t>
  </si>
  <si>
    <t>Quản lý phạm vi</t>
  </si>
  <si>
    <t>Thêm phạm vi bảo hiểm</t>
  </si>
  <si>
    <r>
      <t xml:space="preserve">1. Nhấn </t>
    </r>
    <r>
      <rPr>
        <b/>
        <sz val="11"/>
        <color theme="1"/>
        <rFont val="Aptos Narrow"/>
        <family val="2"/>
        <scheme val="minor"/>
      </rPr>
      <t>+ Thêm phạm vi bảo hiểm</t>
    </r>
    <r>
      <rPr>
        <sz val="11"/>
        <color theme="1"/>
        <rFont val="Aptos Narrow"/>
        <family val="2"/>
        <scheme val="minor"/>
      </rPr>
      <t>;2. Chọn nhiều phạm vi</t>
    </r>
  </si>
  <si>
    <t>Các phạm vi được thêm vào danh sách</t>
  </si>
  <si>
    <t>Là Admin, tôi muốn sắp xếp thứ tự Phạm vi BH</t>
  </si>
  <si>
    <t>Sắp xếp</t>
  </si>
  <si>
    <t>Có nhiều phạm vi</t>
  </si>
  <si>
    <t>Kéo thả sắp xếp</t>
  </si>
  <si>
    <t>1. Kéo thả icon sắp xếp</t>
  </si>
  <si>
    <t>Thứ tự được cập nhật đúng</t>
  </si>
  <si>
    <t>Là Admin, tôi muốn xóa 1 Phạm vi BH trong Loại hình</t>
  </si>
  <si>
    <t>Xóa phạm vi</t>
  </si>
  <si>
    <t>Xóa phạm vi con</t>
  </si>
  <si>
    <r>
      <t xml:space="preserve">1. Nhấn icon </t>
    </r>
    <r>
      <rPr>
        <b/>
        <sz val="11"/>
        <color theme="1"/>
        <rFont val="Aptos Narrow"/>
        <family val="2"/>
        <scheme val="minor"/>
      </rPr>
      <t>Xóa</t>
    </r>
    <r>
      <rPr>
        <sz val="11"/>
        <color theme="1"/>
        <rFont val="Aptos Narrow"/>
        <family val="2"/>
        <scheme val="minor"/>
      </rPr>
      <t xml:space="preserve"> tại 1 phạm vi</t>
    </r>
  </si>
  <si>
    <t>Phạm vi được xóa khỏi danh sách</t>
  </si>
  <si>
    <t>Là Admin, tôi muốn chọn nhiều Nhóm tổn thất</t>
  </si>
  <si>
    <t>Nhóm tổn thất</t>
  </si>
  <si>
    <t>Chọn nhiều giá trị</t>
  </si>
  <si>
    <t>1. Chọn nhiều Nhóm tổn thất</t>
  </si>
  <si>
    <t>Các nhóm tổn thất được hiển thị dạng tag</t>
  </si>
  <si>
    <t>Là Admin, tôi muốn chọn Bộ điều khoản bổ sung</t>
  </si>
  <si>
    <t>Điều khoản bổ sung</t>
  </si>
  <si>
    <t>Gán bộ điều khoản</t>
  </si>
  <si>
    <t>1. Chọn Bộ điều khoản bổ sung</t>
  </si>
  <si>
    <t>Bộ điều khoản được gán thành công</t>
  </si>
  <si>
    <t>Là Admin, tôi muốn cho phép chọn lại Bộ Điều khoản bổ sung</t>
  </si>
  <si>
    <t>Tùy chọn</t>
  </si>
  <si>
    <t>Bật tùy chọn</t>
  </si>
  <si>
    <r>
      <t xml:space="preserve">1. Tick </t>
    </r>
    <r>
      <rPr>
        <b/>
        <sz val="11"/>
        <color theme="1"/>
        <rFont val="Aptos Narrow"/>
        <family val="2"/>
        <scheme val="minor"/>
      </rPr>
      <t>Cho phép chọn lại Điều khoản bổ sung</t>
    </r>
  </si>
  <si>
    <t>Checkbox được lưu đúng trạng thái</t>
  </si>
  <si>
    <t>Quay về danh sách, không tạo bản ghi</t>
  </si>
  <si>
    <t>Là Admin, tôi muốn mở màn hình sửa Loại hình BH</t>
  </si>
  <si>
    <t>Mở form sửa</t>
  </si>
  <si>
    <t>Có sẵn loại hình BH</t>
  </si>
  <si>
    <t>Điều hướng chỉnh sửa</t>
  </si>
  <si>
    <r>
      <t xml:space="preserve">Mở màn hình </t>
    </r>
    <r>
      <rPr>
        <b/>
        <sz val="11"/>
        <color theme="1"/>
        <rFont val="Aptos Narrow"/>
        <family val="2"/>
        <scheme val="minor"/>
      </rPr>
      <t>Sửa loại hình bảo hiểm</t>
    </r>
  </si>
  <si>
    <t>Là Admin, tôi muốn cập nhật Loại hình BH</t>
  </si>
  <si>
    <r>
      <t xml:space="preserve">1. Thay đổi thông tin;2. Nhấn </t>
    </r>
    <r>
      <rPr>
        <b/>
        <sz val="11"/>
        <color theme="1"/>
        <rFont val="Aptos Narrow"/>
        <family val="2"/>
        <scheme val="minor"/>
      </rPr>
      <t>Lưu chỉnh sửa</t>
    </r>
  </si>
  <si>
    <t>TC-22</t>
  </si>
  <si>
    <t>Là Admin, tôi không thể lưu khi thiếu dữ liệu bắt buộc</t>
  </si>
  <si>
    <t>Validate khi sửa</t>
  </si>
  <si>
    <t>Kiểm tra validate</t>
  </si>
  <si>
    <r>
      <t xml:space="preserve">1. Xóa trường bắt buộc;2. Nhấn </t>
    </r>
    <r>
      <rPr>
        <b/>
        <sz val="11"/>
        <color theme="1"/>
        <rFont val="Aptos Narrow"/>
        <family val="2"/>
        <scheme val="minor"/>
      </rPr>
      <t>Lưu chỉnh sửa</t>
    </r>
  </si>
  <si>
    <t>Hiển thị thông báo lỗi, không lưu</t>
  </si>
  <si>
    <t>TC-23</t>
  </si>
  <si>
    <t>Là Admin, tôi muốn xóa Loại hình BH</t>
  </si>
  <si>
    <t>Loại hình BH chưa được sử dụng</t>
  </si>
  <si>
    <t>TC-24</t>
  </si>
  <si>
    <t>Là Admin, tôi muốn hủy xóa Loại hình BH</t>
  </si>
  <si>
    <t>TC-25</t>
  </si>
  <si>
    <t>Là Admin, tôi không thể xóa Loại hình BH đã được sử dụng</t>
  </si>
  <si>
    <t>Loại hình BH đã được dùng trong hồ sơ</t>
  </si>
  <si>
    <t>Quản lý Bộ Điều khoản bổ sung</t>
  </si>
  <si>
    <t>Là Admin, tôi muốn xem danh sách Bộ điều khoản bổ sung</t>
  </si>
  <si>
    <t>Quản lý Bộ điều khoản bổ sung</t>
  </si>
  <si>
    <t>Kiểm tra hiển thị danh sách</t>
  </si>
  <si>
    <t>1. Truy cập menu Quản lý chung → Điều khoản bổ sung;
2. Quan sát danh sách</t>
  </si>
  <si>
    <t>Danh sách hiển thị đầy đủ các Bộ điều khoản;Hiển thị đúng tên</t>
  </si>
  <si>
    <t>Là Admin, tôi muốn tìm kiếm Bộ điều khoản bổ sung</t>
  </si>
  <si>
    <t>Có dữ liệu trong hệ thống</t>
  </si>
  <si>
    <t>Kiểm tra chức năng tìm kiếm</t>
  </si>
  <si>
    <t>1. Nhập từ khóa vào ô Tìm kiếm;
2. Quan sát kết quả</t>
  </si>
  <si>
    <t>Danh sách lọc đúng theo từ khóa</t>
  </si>
  <si>
    <t>Là Admin, tôi muốn sắp xếp theo thứ tự tăng dần cho cột Tên bộ điều khoản bổ sung</t>
  </si>
  <si>
    <t>Sắp xếp tăng dần  cho cột tên bộ điều khoản bổ sung</t>
  </si>
  <si>
    <t>1. Sắp xếp cột Tên bộ điều khoản bổ sung</t>
  </si>
  <si>
    <t>1. Hiển thị đúng Tên bộ điều khoản bổ sung theo thứ tự tăng dần</t>
  </si>
  <si>
    <t>Là Admin, tôi muốn sắp xếp theo thứ tự giảm dần cho cột Tên điều khoản bổ sung</t>
  </si>
  <si>
    <t>Sắp xếp  giảm dần cho cột tên bộ điều khoản bổ sung</t>
  </si>
  <si>
    <t>1. Sắp xếp cột  Tên bộ điều khoản bổ sung</t>
  </si>
  <si>
    <t>1. Hiển thị đúng Tên bộ điều khoản bổ sung theo thứ tự giảm dần</t>
  </si>
  <si>
    <t>Là Admin, tôi muốn mở màn hình tạo mới Bộ điều khoản bổ sung</t>
  </si>
  <si>
    <t>Kiểm tra điều hướng nút tạo</t>
  </si>
  <si>
    <t>1. Nhấn nút “+ Thêm bộ điều khoản bổ sung”</t>
  </si>
  <si>
    <t>Mở màn hình “Tạo Bộ điều khoản bổ sung”</t>
  </si>
  <si>
    <t>Là Admin, tôi muốn tạo mới Bộ điều khoản bổ sung hợp lệ</t>
  </si>
  <si>
    <t>Lưu tạo mới</t>
  </si>
  <si>
    <t>Nhập đầy đủ thông tin bắt buộc</t>
  </si>
  <si>
    <t>Kiểm tra tạo mới thành công</t>
  </si>
  <si>
    <t>1. Nhập Tên bộ điều khoản
2. Nhập Category
4. Thêm  1 điều khoản
5. Nhấn “Tạo Bộ điều khoản bổ sung”</t>
  </si>
  <si>
    <t>Tạo thành công;Hiển thị bộ điều khoản mới trong danh sách</t>
  </si>
  <si>
    <t>Là Admin, tôi không muốn tạo khi thiếu thông tin bắt buộc</t>
  </si>
  <si>
    <t>Chưa nhập đủ trường bắt buộc</t>
  </si>
  <si>
    <t>Kiểm tra validate form</t>
  </si>
  <si>
    <t>1. Bỏ trống Tên
2. Nhấn Tạo</t>
  </si>
  <si>
    <t>Hiển thị thông báo lỗi;Không cho lưu</t>
  </si>
  <si>
    <t>Là Admin, tôi muốn chọn nhiều điều khoản trong modal</t>
  </si>
  <si>
    <t>Chọn điều khoản</t>
  </si>
  <si>
    <t>Modal đang mở</t>
  </si>
  <si>
    <t>Kiểm tra chọn nhiều item</t>
  </si>
  <si>
    <t>1. Tick chọn nhiều điều khoản
2. Nhấn “Thêm điều khoản”</t>
  </si>
  <si>
    <t>Các điều khoản được thêm vào danh sách</t>
  </si>
  <si>
    <t>Là Admin, tôi muốn tìm điều khoản trong modal</t>
  </si>
  <si>
    <t>Tìm trong modal</t>
  </si>
  <si>
    <t>Có nhiều điều khoản</t>
  </si>
  <si>
    <t>Kiểm tra tìm kiếm trong modal</t>
  </si>
  <si>
    <t>1. Nhập từ khóa trong modal</t>
  </si>
  <si>
    <t>Danh sách điều khoản lọc đúng</t>
  </si>
  <si>
    <t>Là Admin, tôi muốn sắp xếp lại thứ tự điều khoản</t>
  </si>
  <si>
    <t>Danh sách có nhiều điều khoản</t>
  </si>
  <si>
    <t>Kiểm tra drag &amp; drop</t>
  </si>
  <si>
    <t>1. Kéo thả điều khoản để đổi vị trí</t>
  </si>
  <si>
    <t>Là Admin, tôi muốn xóa điều khoản khỏi bộ</t>
  </si>
  <si>
    <t>Xóa điều khoản</t>
  </si>
  <si>
    <t>Đã có điều khoản</t>
  </si>
  <si>
    <t>Kiểm tra xóa item</t>
  </si>
  <si>
    <t>1. Nhấn icon xóa tại điều khoản</t>
  </si>
  <si>
    <t>Điều khoản bị xóa khỏi danh sách</t>
  </si>
  <si>
    <t>Là Admin, tôi muốn thêm Category mới</t>
  </si>
  <si>
    <t>Thêm Category</t>
  </si>
  <si>
    <t>Đang ở màn hình tạo/sửa</t>
  </si>
  <si>
    <t>Kiểm tra thêm Category</t>
  </si>
  <si>
    <t>1. Nhấn “+ Thêm Category”
2. Nhập tên Category</t>
  </si>
  <si>
    <t>Category mới được thêm</t>
  </si>
  <si>
    <t>Là Admin, tôi muốn chỉnh sửa Bộ điều khoản bổ sung</t>
  </si>
  <si>
    <t>Mở chỉnh sửa</t>
  </si>
  <si>
    <t>Bộ điều khoản đã tồn tại</t>
  </si>
  <si>
    <t>Kiểm tra mở màn hình sửa</t>
  </si>
  <si>
    <t>1. Nhấn icon chỉnh sửa tại danh sách</t>
  </si>
  <si>
    <t>Mở màn hình “Sửa Bộ điều khoản bổ sung”</t>
  </si>
  <si>
    <t>Là Admin, tôi muốn lưu chỉnh sửa Bộ điều khoản</t>
  </si>
  <si>
    <t>Lưu chỉnh sửa</t>
  </si>
  <si>
    <t>Thay đổi dữ liệu</t>
  </si>
  <si>
    <t>Kiểm tra lưu thành công</t>
  </si>
  <si>
    <t>1. Chỉnh sửa thông tin
2. Nhấn “Lưu chỉnh sửa”</t>
  </si>
  <si>
    <t>Dữ liệu được cập nhật;Hiển thị thông báo thành công</t>
  </si>
  <si>
    <t>Là Admin, tôi không thể chỉnh sửa bộ đk bổ sung đã tồn tại trong danh sách</t>
  </si>
  <si>
    <t>Bộ điều khoản tồn tại</t>
  </si>
  <si>
    <t>Kiểm tra lưu không thành công</t>
  </si>
  <si>
    <t>1. Chỉnh sửa tên bộ điều khoản bổ sung đã tồn tại
2. Lưu chỉnh sửa</t>
  </si>
  <si>
    <t>Trạng thái hiển thị đúng trong danh sách</t>
  </si>
  <si>
    <t>Là Admin, tôi muốn hủy thao tác tạo/sửa</t>
  </si>
  <si>
    <t>Kiểm tra nút Bỏ qua</t>
  </si>
  <si>
    <t>1. Nhấn “Bỏ qua”</t>
  </si>
  <si>
    <t>Quay về danh sách;Không lưu dữ liệu</t>
  </si>
  <si>
    <t>Là Admin, tôi muốn xóa Bộ điều khoản bổ sung</t>
  </si>
  <si>
    <t>Bộ điều khoản chưa được sử dụng</t>
  </si>
  <si>
    <t>Kiểm tra xóa dữ liệu</t>
  </si>
  <si>
    <t>1. Nhấn icon Xóa;2. Xác nhận xóa</t>
  </si>
  <si>
    <t>Bộ điều khoản bị xóa khỏi danh sách;Hiển thị thông báo thành công</t>
  </si>
  <si>
    <t>Là Admin, tôi muốn hủy thao tác xóa</t>
  </si>
  <si>
    <t>Đang hiển thị popup xác nhận</t>
  </si>
  <si>
    <t>Kiểm tra hủy xóa</t>
  </si>
  <si>
    <t>1. Nhấn icon Xóa;2. Chọn “Đóng”</t>
  </si>
  <si>
    <t>Popup đóng;Không xóa dữ liệu</t>
  </si>
  <si>
    <t>Là Admin, tôi không thể xóa bộ điều khoản bổ sung đã được sử dụng</t>
  </si>
  <si>
    <t xml:space="preserve">Bộ điều khoản bổ sung  đã được dùng trong loại hình bảo hiểm </t>
  </si>
  <si>
    <t>Quản lý Điều khoản bổ sung</t>
  </si>
  <si>
    <t>Là Admin, tôi muốn truy cập màn hình quản lý Điều khoản bổ sung</t>
  </si>
  <si>
    <t>User đăng nhập với quyền Admin</t>
  </si>
  <si>
    <t>Kiểm tra truy cập menu Điều khoản bổ sung</t>
  </si>
  <si>
    <t>1. Đăng nhập hệ thống;2. Chọn menu Quản lý chung → Điều khoản bổ sung</t>
  </si>
  <si>
    <t>Hệ thống hiển thị màn hình danh sách Điều khoản bổ sung</t>
  </si>
  <si>
    <t>Là Admin, tôi muốn xem danh sách Điều khoản bổ sung</t>
  </si>
  <si>
    <t>Có dữ liệu điều khoản bổ sung</t>
  </si>
  <si>
    <t>1. Truy cập màn hình Điều khoản bổ sung</t>
  </si>
  <si>
    <t>Hiển thị danh sách gồm:Tên điều khoản;Thông tin chi tiết;Trạng thái; xóa</t>
  </si>
  <si>
    <t>Là Admin, tôi muốn tìm kiếm Điều khoản bổ sung</t>
  </si>
  <si>
    <t>Có nhiều điều khoản trong hệ thống</t>
  </si>
  <si>
    <t>1. Nhập từ khóa vào ô Tìm kiếm;2. Quan sát danh sách</t>
  </si>
  <si>
    <t>Danh sách lọc đúng theo từ khóa;Không reload trang</t>
  </si>
  <si>
    <t>Là Admin, tôi muốn sắp xếp theo thứ tự tăng dần cho cột Tên điều khoản bổ sung</t>
  </si>
  <si>
    <t>Sắp xếp tăng dần  cho cột tên điều khoản bổ sung</t>
  </si>
  <si>
    <t>1. Sắp xếp cột Tên điều khoản bổ sung</t>
  </si>
  <si>
    <t>1. Hiển thị đúng Tên điều khoản bổ sung</t>
  </si>
  <si>
    <t>Sắp xếp  giảm dần cho cột tên điều khoản bổ sung</t>
  </si>
  <si>
    <t>1. Sắp xếp cột  Tên điều khoản bổ sung</t>
  </si>
  <si>
    <t>Là Admin, tôi muốn mở màn hình tạo Điều khoản bổ sung</t>
  </si>
  <si>
    <t>User có quyền Admin</t>
  </si>
  <si>
    <t>Kiểm tra điều hướng tạo mới</t>
  </si>
  <si>
    <t>1. Nhấn nút “+ Thêm điều khoản bổ sung”</t>
  </si>
  <si>
    <t>Mở màn hình “Tạo điều khoản bổ sung”</t>
  </si>
  <si>
    <t>Là Admin, tôi muốn tạo Điều khoản bổ sung mới</t>
  </si>
  <si>
    <t>Nhập đầy đủ dữ liệu hợp lệ</t>
  </si>
  <si>
    <t>1. Nhập Tên điều khoản;2. Nhập Thông tin chi tiết;3.  Nhấn “Tạo điều khoản bổ sung”</t>
  </si>
  <si>
    <t>Điều khoản được tạo thành công;Hiển thị trong danh sách;Thông báo thành công</t>
  </si>
  <si>
    <t>Là Admin, tôi muốn kiểm tra validate khi tạo mới</t>
  </si>
  <si>
    <t>Đang ở màn hình tạo mới</t>
  </si>
  <si>
    <t>Kiểm tra dữ liệu bắt buộc</t>
  </si>
  <si>
    <t>1. Để trống Tên điều khoản;2. Nhấn Lưu</t>
  </si>
  <si>
    <t>Hiển thị cảnh báo bắt buộc nhập Tên điều khoản;Không tạo dữ liệu</t>
  </si>
  <si>
    <t>1. Nhấn nút “Bỏ qua”</t>
  </si>
  <si>
    <t>Quay về màn hình danh sách;Không lưu dữ liệu</t>
  </si>
  <si>
    <t>Là Admin, tôi muốn mở màn hình chỉnh sửa Điều khoản bổ sung</t>
  </si>
  <si>
    <t>Điều khoản đã tồn tại</t>
  </si>
  <si>
    <t>Kiểm tra điều hướng chỉnh sửa</t>
  </si>
  <si>
    <t>1. Nhấn icon chỉnh sửa tại dòng điều khoản</t>
  </si>
  <si>
    <t>Mở màn hình “Sửa điều khoản bổ sung”</t>
  </si>
  <si>
    <t>Là Admin, tôi muốn chỉnh sửa thông tin Điều khoản bổ sung</t>
  </si>
  <si>
    <t>Dữ liệu chỉnh sửa hợp lệ</t>
  </si>
  <si>
    <t>Kiểm tra lưu chỉnh sửa</t>
  </si>
  <si>
    <t>1. Thay đổi tên / thông tin / trạng thái;2. Nhấn “Lưu chỉnh sửa”</t>
  </si>
  <si>
    <t>Dữ liệu được cập nhật;Danh sách hiển thị thông tin mới</t>
  </si>
  <si>
    <t>Là Admin, tôi muốn kiểm tra validate khi chỉnh sửa</t>
  </si>
  <si>
    <t>Đang ở màn hình chỉnh sửa</t>
  </si>
  <si>
    <t>1. Xóa Tên điều khoản;2. Nhấn Lưu</t>
  </si>
  <si>
    <t>Hiển thị cảnh báo bắt buộc;Không lưu dữ liệu</t>
  </si>
  <si>
    <t>Là Admin, tôi muốn xóa Điều khoản bổ sung</t>
  </si>
  <si>
    <t>Điều khoản chưa được sử dụng</t>
  </si>
  <si>
    <t>Điều khoản bị xóa khỏi danh sách;Hiển thị thông báo thành công</t>
  </si>
  <si>
    <t>Là Admin, tôi không thể điều khoản bổ sung đã được sử dụng</t>
  </si>
  <si>
    <t>điều khoản bổ sung  đã được dùng trong bộ điều khoản bổ sung</t>
  </si>
  <si>
    <t>Quản lý Nhóm Tổn thất</t>
  </si>
  <si>
    <t>Là Admin, tôi muốn truy cập màn hình Quản lý Nhóm tổn thất</t>
  </si>
  <si>
    <t>Kiểm tra khả năng truy cập màn hình danh sách</t>
  </si>
  <si>
    <r>
      <t xml:space="preserve">1. Đăng nhập bằng tài khoản Admin;2. Chọn </t>
    </r>
    <r>
      <rPr>
        <b/>
        <sz val="11"/>
        <color theme="1"/>
        <rFont val="Aptos Narrow"/>
        <family val="2"/>
        <scheme val="minor"/>
      </rPr>
      <t>Quản lý chung</t>
    </r>
    <r>
      <rPr>
        <sz val="11"/>
        <color theme="1"/>
        <rFont val="Aptos Narrow"/>
        <family val="2"/>
        <scheme val="minor"/>
      </rPr>
      <t xml:space="preserve">;3. Chọn </t>
    </r>
    <r>
      <rPr>
        <b/>
        <sz val="11"/>
        <color theme="1"/>
        <rFont val="Aptos Narrow"/>
        <family val="2"/>
        <scheme val="minor"/>
      </rPr>
      <t>Nhóm tổn thất</t>
    </r>
  </si>
  <si>
    <r>
      <t xml:space="preserve">Hệ thống hiển thị màn hình </t>
    </r>
    <r>
      <rPr>
        <b/>
        <sz val="11"/>
        <color theme="1"/>
        <rFont val="Aptos Narrow"/>
        <family val="2"/>
        <scheme val="minor"/>
      </rPr>
      <t>Quản lý Nhóm tổn thất</t>
    </r>
  </si>
  <si>
    <t>Là Admin, tôi muốn xem danh sách Nhóm tổn thất</t>
  </si>
  <si>
    <t>Hiển thị danh sách nhóm tổn thất</t>
  </si>
  <si>
    <t>Hiển thị các cột: Tên nhóm tổn thất, nút Sửa, nút Xóa</t>
  </si>
  <si>
    <t>Là Admin, tôi muốn tìm kiếm Nhóm tổn thất</t>
  </si>
  <si>
    <t>Có dữ liệu nhóm tổn thất</t>
  </si>
  <si>
    <t>Tìm theo tên nhóm tổn thất</t>
  </si>
  <si>
    <t>Danh sách hiển thị đúng các nhóm phù hợp</t>
  </si>
  <si>
    <t>Danh sách hiển thị đúng theo trang được chọn</t>
  </si>
  <si>
    <t>Là Admin, tôi muốn mở màn hình tạo Nhóm tổn thất</t>
  </si>
  <si>
    <t>Điều hướng tạo mới</t>
  </si>
  <si>
    <r>
      <t xml:space="preserve">1. Nhấn </t>
    </r>
    <r>
      <rPr>
        <b/>
        <sz val="11"/>
        <color theme="1"/>
        <rFont val="Aptos Narrow"/>
        <family val="2"/>
        <scheme val="minor"/>
      </rPr>
      <t>+ Thêm Nhóm tổn thất</t>
    </r>
  </si>
  <si>
    <r>
      <t xml:space="preserve">Hệ thống mở màn hình </t>
    </r>
    <r>
      <rPr>
        <b/>
        <sz val="11"/>
        <color theme="1"/>
        <rFont val="Aptos Narrow"/>
        <family val="2"/>
        <scheme val="minor"/>
      </rPr>
      <t>Tạo nhóm tổn thất</t>
    </r>
  </si>
  <si>
    <t>Là Admin, tôi muốn tạo Nhóm tổn thất với dữ liệu hợp lệ</t>
  </si>
  <si>
    <t>Tạo nhóm tổn thất thành công</t>
  </si>
  <si>
    <r>
      <t xml:space="preserve">1. Nhập Tên nhóm tổn thất;2. Chọn Trạng thái;3. Nhấn </t>
    </r>
    <r>
      <rPr>
        <b/>
        <sz val="11"/>
        <color theme="1"/>
        <rFont val="Aptos Narrow"/>
        <family val="2"/>
        <scheme val="minor"/>
      </rPr>
      <t>Tạo nhóm tổn thất</t>
    </r>
  </si>
  <si>
    <t>Nhóm tổn thất được tạo và hiển thị trong danh sách</t>
  </si>
  <si>
    <t>Là Admin, tôi không thể tạo khi thiếu Tên nhóm tổn thất</t>
  </si>
  <si>
    <r>
      <t xml:space="preserve">1. Để trống Tên nhóm tổn thất;2. Nhấn </t>
    </r>
    <r>
      <rPr>
        <b/>
        <sz val="11"/>
        <color theme="1"/>
        <rFont val="Aptos Narrow"/>
        <family val="2"/>
        <scheme val="minor"/>
      </rPr>
      <t>Tạo nhóm tổn thất</t>
    </r>
  </si>
  <si>
    <t>Hiển thị thông báo lỗi yêu cầu nhập Tên nhóm tổn thất</t>
  </si>
  <si>
    <t>Là Admin tôi không thể tạo khi nhập tên nhóm tổn thất đã tồn tại</t>
  </si>
  <si>
    <t>1. Nhập tên nhóm tổn thất đã tồn tại
2. Nhấn "Tạo nhóm tổn thất"</t>
  </si>
  <si>
    <t>Hiển thị thông báo Tên nhóm tổn thất đã tồn tại</t>
  </si>
  <si>
    <t>Quay về màn hình danh sách, không tạo nhóm mới</t>
  </si>
  <si>
    <t>Là Admin, tôi muốn mở màn hình sửa Nhóm tổn thất</t>
  </si>
  <si>
    <t>Có sẵn nhóm tổn thất</t>
  </si>
  <si>
    <r>
      <t xml:space="preserve">Mở màn hình </t>
    </r>
    <r>
      <rPr>
        <b/>
        <sz val="11"/>
        <color theme="1"/>
        <rFont val="Aptos Narrow"/>
        <family val="2"/>
        <scheme val="minor"/>
      </rPr>
      <t>Sửa nhóm tổn thất</t>
    </r>
  </si>
  <si>
    <t>Là Admin, tôi muốn cập nhật Nhóm tổn thất</t>
  </si>
  <si>
    <r>
      <rPr>
        <sz val="11"/>
        <color rgb="FF000000"/>
        <rFont val="Aptos Narrow"/>
        <scheme val="minor"/>
      </rPr>
      <t xml:space="preserve">1. Thay đổi Tên;2. Nhấn </t>
    </r>
    <r>
      <rPr>
        <b/>
        <sz val="11"/>
        <color rgb="FF000000"/>
        <rFont val="Aptos Narrow"/>
        <scheme val="minor"/>
      </rPr>
      <t>Lưu chỉnh sửa</t>
    </r>
  </si>
  <si>
    <t>Thông tin nhóm tổn thất được cập nhật thành công</t>
  </si>
  <si>
    <t>Là Admin tôi không thể sửa khi nhập tên nhóm tổn thất đã tồn tại</t>
  </si>
  <si>
    <t>1. Sửa tên nhóm tổn thất đã tồn tại
2. Nhấn "Lưu chỉnh sửa"</t>
  </si>
  <si>
    <t>Là Admin, tôi không thể lưu khi sửa thiếu dữ liệu bắt buộc</t>
  </si>
  <si>
    <r>
      <t xml:space="preserve">1. Xóa Tên nhóm tổn thất;2. Nhấn </t>
    </r>
    <r>
      <rPr>
        <b/>
        <sz val="11"/>
        <color theme="1"/>
        <rFont val="Aptos Narrow"/>
        <family val="2"/>
        <scheme val="minor"/>
      </rPr>
      <t>Lưu chỉnh sửa</t>
    </r>
  </si>
  <si>
    <t>Hiển thị thông báo lỗi, không lưu dữ liệu</t>
  </si>
  <si>
    <t>Là Admin, tôi muốn xóa Nhóm tổn thất</t>
  </si>
  <si>
    <t>Nhóm tổn thất chưa được sử dụng</t>
  </si>
  <si>
    <r>
      <t xml:space="preserve">1. Nhấn icon </t>
    </r>
    <r>
      <rPr>
        <b/>
        <sz val="11"/>
        <color theme="1"/>
        <rFont val="Aptos Narrow"/>
        <family val="2"/>
        <scheme val="minor"/>
      </rPr>
      <t>Xóa</t>
    </r>
    <r>
      <rPr>
        <sz val="11"/>
        <color theme="1"/>
        <rFont val="Aptos Narrow"/>
        <family val="2"/>
        <scheme val="minor"/>
      </rPr>
      <t>;2. Xác nhận xóa</t>
    </r>
  </si>
  <si>
    <t>Nhóm tổn thất bị xóa khỏi danh sách</t>
  </si>
  <si>
    <t>Là Admin, tôi không thể xóa Nhóm tổn thất đang được sử dụng</t>
  </si>
  <si>
    <t>Ràng buộc dữ liệu</t>
  </si>
  <si>
    <t>Nhóm tổn thất đã được gán cho Loại hình BH</t>
  </si>
  <si>
    <r>
      <t xml:space="preserve">1. Nhấn icon </t>
    </r>
    <r>
      <rPr>
        <b/>
        <sz val="11"/>
        <color theme="1"/>
        <rFont val="Aptos Narrow"/>
        <family val="2"/>
        <scheme val="minor"/>
      </rPr>
      <t>Xóa</t>
    </r>
  </si>
  <si>
    <t>Đang ở màn hình Tạo hoặc Sửa</t>
  </si>
  <si>
    <t>Điều hướng quay lại</t>
  </si>
  <si>
    <t>Quay về màn hình danh sách Nhóm tổn thất</t>
  </si>
  <si>
    <t>Quản lý Công ty Bảo Hiểm</t>
  </si>
  <si>
    <t>Là Admin/Underwriter/Claim Oficer, tôi muốn truy cập màn hình Quản lý Công ty Bảo hiểm</t>
  </si>
  <si>
    <t>Quản lý Công ty Bảo hiểm</t>
  </si>
  <si>
    <r>
      <t xml:space="preserve">1. Đăng nhập bằng tài khoản Admin;2. Chọn </t>
    </r>
    <r>
      <rPr>
        <b/>
        <sz val="11"/>
        <color theme="1"/>
        <rFont val="Aptos Narrow"/>
        <family val="2"/>
        <scheme val="minor"/>
      </rPr>
      <t>Quản lý chung</t>
    </r>
    <r>
      <rPr>
        <sz val="11"/>
        <color theme="1"/>
        <rFont val="Aptos Narrow"/>
        <family val="2"/>
        <scheme val="minor"/>
      </rPr>
      <t xml:space="preserve">;3. Chọn </t>
    </r>
    <r>
      <rPr>
        <b/>
        <sz val="11"/>
        <color theme="1"/>
        <rFont val="Aptos Narrow"/>
        <family val="2"/>
        <scheme val="minor"/>
      </rPr>
      <t>Công ty bảo hiểm</t>
    </r>
  </si>
  <si>
    <r>
      <t xml:space="preserve">Hệ thống hiển thị màn hình </t>
    </r>
    <r>
      <rPr>
        <b/>
        <sz val="11"/>
        <color theme="1"/>
        <rFont val="Aptos Narrow"/>
        <family val="2"/>
        <scheme val="minor"/>
      </rPr>
      <t>Quản lý Công ty Bảo hiểm</t>
    </r>
  </si>
  <si>
    <t>Là Admin/Underwriter/Claim Oficer, tôi muốn xem danh sách Công ty Bảo hiểm</t>
  </si>
  <si>
    <t>Hiển thị danh sách công ty</t>
  </si>
  <si>
    <t>Hiển thị các cột: Tên đầy đủ, tên viết tắt, nút Sửa, nút Xóa</t>
  </si>
  <si>
    <t>Là Admin/Underwriter/Claim Oficer, tôi muốn tìm kiếm Công ty Bảo hiểm</t>
  </si>
  <si>
    <t>Có dữ liệu công ty</t>
  </si>
  <si>
    <t>Tìm theo tên công ty</t>
  </si>
  <si>
    <r>
      <t xml:space="preserve">1. Nhập từ khóa vào ô </t>
    </r>
    <r>
      <rPr>
        <b/>
        <sz val="11"/>
        <color theme="1"/>
        <rFont val="Aptos Narrow"/>
        <family val="2"/>
        <scheme val="minor"/>
      </rPr>
      <t>Tìm kiếm công ty bảo hiểm</t>
    </r>
  </si>
  <si>
    <t>Danh sách hiển thị đúng các công ty phù hợp</t>
  </si>
  <si>
    <t>Là Admin/Underwriter/Claim Oficer, tôi muốn phân trang danh sách</t>
  </si>
  <si>
    <t>Là Admin/Underwriter/Claim Oficer, tôi muốn sắp xếp theo thứ tự tăng dần cho cột Tên đầy đủ</t>
  </si>
  <si>
    <t>Sắp xếp tăng dần  cho cột Tên đầy đủ</t>
  </si>
  <si>
    <t>1. Sắp xếp cột Tên đầy đủ</t>
  </si>
  <si>
    <t>1. Hiển thị đúng Tên đầy đủ theo danh sách tăng dần</t>
  </si>
  <si>
    <t>Là Admin/Underwriter/Claim Oficer, tôi muốn sắp xếp theo thứ tự giảm dần cho cột Tên đầy đủ</t>
  </si>
  <si>
    <t>1. Sắp xếp cột  Tên đầy đủ</t>
  </si>
  <si>
    <t>1. Hiển thị đúng Tên đầy đủ theo danh sách giảm dần</t>
  </si>
  <si>
    <t>Là Admin/Underwriter/Claim Oficer, tôi muốn mở màn hình tạo Công ty Bảo hiểm</t>
  </si>
  <si>
    <r>
      <t xml:space="preserve">1. Nhấn </t>
    </r>
    <r>
      <rPr>
        <b/>
        <sz val="11"/>
        <color theme="1"/>
        <rFont val="Aptos Narrow"/>
        <family val="2"/>
        <scheme val="minor"/>
      </rPr>
      <t>+ Thêm công ty bảo hiểm</t>
    </r>
  </si>
  <si>
    <r>
      <rPr>
        <sz val="11"/>
        <color rgb="FF000000"/>
        <rFont val="Aptos Narrow"/>
        <scheme val="minor"/>
      </rPr>
      <t xml:space="preserve">Hệ thống mở màn hình </t>
    </r>
    <r>
      <rPr>
        <b/>
        <sz val="11"/>
        <color rgb="FF000000"/>
        <rFont val="Aptos Narrow"/>
        <scheme val="minor"/>
      </rPr>
      <t>Tạo Công ty Bảo hiểm và UI hiển thị đúng với figma</t>
    </r>
  </si>
  <si>
    <t>Là Admin/Underwriter/Claim Oficer, tôi muốn tạo Công ty Bảo hiểm với dữ liệu hợp lệ</t>
  </si>
  <si>
    <t>Tạo công ty bảo hiểm thành công</t>
  </si>
  <si>
    <r>
      <rPr>
        <sz val="11"/>
        <color rgb="FF000000"/>
        <rFont val="Aptos Narrow"/>
        <scheme val="minor"/>
      </rPr>
      <t xml:space="preserve">1. Nhập Tên công ty bảo hiểm;2. Nhập tên viết tắt; 3. Nhập email 4. Nhập thông tin người phụ trách ;5. Nhấn </t>
    </r>
    <r>
      <rPr>
        <b/>
        <sz val="11"/>
        <color rgb="FF000000"/>
        <rFont val="Aptos Narrow"/>
        <scheme val="minor"/>
      </rPr>
      <t>Tạo công ty bảo hiểm</t>
    </r>
  </si>
  <si>
    <t>Công ty bảo hiểm được tạo và hiển thị trong danh sách</t>
  </si>
  <si>
    <t>Là Admin/Underwriter/Claim Oficer, tôi không thể tạo khi thiếu Tên công ty bảo hiểm</t>
  </si>
  <si>
    <r>
      <t xml:space="preserve">1. Để trống Tên công ty bảo hiểm;2. Nhấn </t>
    </r>
    <r>
      <rPr>
        <b/>
        <sz val="11"/>
        <color theme="1"/>
        <rFont val="Aptos Narrow"/>
        <family val="2"/>
        <scheme val="minor"/>
      </rPr>
      <t>Tạo công ty bảo hiểm</t>
    </r>
  </si>
  <si>
    <t>Hiển thị thông báo lỗi yêu cầu nhập Tên công ty</t>
  </si>
  <si>
    <t>Là Admin/Underwriter/Claim Oficer, tôi không thể tạo khi thiếu Chi nhánh</t>
  </si>
  <si>
    <r>
      <rPr>
        <sz val="11"/>
        <color rgb="FF000000"/>
        <rFont val="Aptos Narrow"/>
        <scheme val="minor"/>
      </rPr>
      <t xml:space="preserve">1. Để trống tên viết tắt;2. Nhấn </t>
    </r>
    <r>
      <rPr>
        <b/>
        <sz val="11"/>
        <color rgb="FF000000"/>
        <rFont val="Aptos Narrow"/>
        <scheme val="minor"/>
      </rPr>
      <t>Tạo công ty bảo hiểm</t>
    </r>
  </si>
  <si>
    <t>Hiển thị thông báo lỗi yêu cầu nhập tên viết tắt</t>
  </si>
  <si>
    <t>Là Admin/Underwriter/Claim Oficer, tôi không thể tạo khi chưa chọn Trạng thái</t>
  </si>
  <si>
    <r>
      <t xml:space="preserve">1. Không chọn Trạng thái;2. Nhấn </t>
    </r>
    <r>
      <rPr>
        <b/>
        <sz val="11"/>
        <color theme="1"/>
        <rFont val="Aptos Narrow"/>
        <family val="2"/>
        <scheme val="minor"/>
      </rPr>
      <t>Tạo công ty bảo hiểm</t>
    </r>
  </si>
  <si>
    <t>Hiển thị thông báo yêu cầu chọn Trạng thái</t>
  </si>
  <si>
    <t>Là Admin/Underwriter/Claim Oficer, tôi không thể tạo khi chưa nhập Email</t>
  </si>
  <si>
    <r>
      <rPr>
        <sz val="11"/>
        <color rgb="FF000000"/>
        <rFont val="Aptos Narrow"/>
        <scheme val="minor"/>
      </rPr>
      <t xml:space="preserve">1. Để trống Email ;2. Nhấn </t>
    </r>
    <r>
      <rPr>
        <b/>
        <sz val="11"/>
        <color rgb="FF000000"/>
        <rFont val="Aptos Narrow"/>
        <scheme val="minor"/>
      </rPr>
      <t>Tạo công ty bảo hiểm</t>
    </r>
  </si>
  <si>
    <t>Hiển thị thông báo yêu cầu nhập email</t>
  </si>
  <si>
    <t>Là Admin/Underwriter/Claim Oficer, tôi không thể tạo khi nhập email không đúng định dạng</t>
  </si>
  <si>
    <t>Email không đúng định dạng</t>
  </si>
  <si>
    <t>1. Nhập email không đúng định dạng
2. Nhấn Tạo công ty bảo hiểm</t>
  </si>
  <si>
    <t>Hiển thị thông báo email không hợp lệ</t>
  </si>
  <si>
    <t>Là Admin/Underwriter/Claim Oficer, tôi không thể tạo khi chưa nhập Mã công ty</t>
  </si>
  <si>
    <r>
      <rPr>
        <sz val="11"/>
        <color rgb="FF000000"/>
        <rFont val="Aptos Narrow"/>
        <scheme val="minor"/>
      </rPr>
      <t xml:space="preserve">1. Để trống Mã công ty0;2. Nhấn </t>
    </r>
    <r>
      <rPr>
        <b/>
        <sz val="11"/>
        <color rgb="FF000000"/>
        <rFont val="Aptos Narrow"/>
        <scheme val="minor"/>
      </rPr>
      <t>Tạo công ty bảo hiểm</t>
    </r>
  </si>
  <si>
    <t xml:space="preserve">Hiển thị thông báo yêu cầu nhập mã công ty </t>
  </si>
  <si>
    <t>Là Admin/Underwriter/Claim Oficer, tôi không thể tạo khi nhập mã công ty đã tồn tại trong danh sách</t>
  </si>
  <si>
    <t>Kiểm tra mã công ty bị trùng</t>
  </si>
  <si>
    <t>1. Nhập tên viết tắt đã tồn tại
2. Nhấn Tạo công ty bảo hiểm</t>
  </si>
  <si>
    <t>Hiển thị thông báo Tên viết tắt  đã được sử dụng</t>
  </si>
  <si>
    <t>Là Admin/Underwriter/Claim Oficer, tôi không thể tạo khi nhập Tên công ty, Trạng thái trên 255 ký tự</t>
  </si>
  <si>
    <t>Kiểm tra khi nhập quá 255 ký tự</t>
  </si>
  <si>
    <t>1. Nhập tên công ty quá 255 ký tự
2. Nhấn Tạo công ty bảo hiểm</t>
  </si>
  <si>
    <t>Hiển thị thông báo xác thực không thành công</t>
  </si>
  <si>
    <t>Là Admin/Underwriter/Claim Oficer, tôi không thể tạo khi nhập Mã công ty ít hơn 2 ký tự</t>
  </si>
  <si>
    <t>Kiểm tra khi nhập quá ít hơn 2 ký tư</t>
  </si>
  <si>
    <t>1. Nhập mã công ty ít hơn 2 ký tự
2. Nhấn tạo công ty bảo hiểm</t>
  </si>
  <si>
    <t>Hiển thị thông báo Mã công ty phải có ít nhất 2 ký tự</t>
  </si>
  <si>
    <t>Là Admin/Underwriter/Claim Oficer, tôi không thể tạo khi nhập Tên viết tắt vượt quá 5 ký tự</t>
  </si>
  <si>
    <t>Kiểm tra khi nhập quá 5 ký tự</t>
  </si>
  <si>
    <t>1. Nhập mã công ty vượt quá 5 ký tự
2. Nhấn tạo công ty bảo hiểm</t>
  </si>
  <si>
    <t>Hiển thị thông báo Mã công ty không được vượt quá 5 ký tự</t>
  </si>
  <si>
    <t>Là Admin/Underwriter/Claim Oficer, tôi muốn hủy tạo mới</t>
  </si>
  <si>
    <t>Quay về màn hình danh sách, không tạo công ty</t>
  </si>
  <si>
    <t>Là Admin/Underwriter/Claim Oficer, tôi muốn mở màn hình sửa Công ty Bảo hiểm</t>
  </si>
  <si>
    <t>Có sẵn công ty bảo hiểm</t>
  </si>
  <si>
    <r>
      <rPr>
        <sz val="11"/>
        <color rgb="FF000000"/>
        <rFont val="Aptos Narrow"/>
        <scheme val="minor"/>
      </rPr>
      <t xml:space="preserve">1. Nhấn icon </t>
    </r>
    <r>
      <rPr>
        <b/>
        <sz val="11"/>
        <color rgb="FF000000"/>
        <rFont val="Aptos Narrow"/>
        <scheme val="minor"/>
      </rPr>
      <t>Sửa</t>
    </r>
    <r>
      <rPr>
        <sz val="11"/>
        <color rgb="FF000000"/>
        <rFont val="Aptos Narrow"/>
        <scheme val="minor"/>
      </rPr>
      <t xml:space="preserve"> tại 1 bản ghi</t>
    </r>
  </si>
  <si>
    <r>
      <rPr>
        <sz val="11"/>
        <color rgb="FF000000"/>
        <rFont val="Aptos Narrow"/>
        <scheme val="minor"/>
      </rPr>
      <t xml:space="preserve">Mở màn hình </t>
    </r>
    <r>
      <rPr>
        <b/>
        <sz val="11"/>
        <color rgb="FF000000"/>
        <rFont val="Aptos Narrow"/>
        <scheme val="minor"/>
      </rPr>
      <t>Sửa Công ty Bảo hiểm</t>
    </r>
    <r>
      <rPr>
        <sz val="11"/>
        <color rgb="FF000000"/>
        <rFont val="Aptos Narrow"/>
        <scheme val="minor"/>
      </rPr>
      <t xml:space="preserve"> và hiển thị giao diện giống với figma</t>
    </r>
  </si>
  <si>
    <t>1. Để trống Tên công ty bảo hiểm;2. Nhấn Lưu chỉnh sửa</t>
  </si>
  <si>
    <t>1. Để trống Chi nhánh;2. Nhấn Lưu chỉnh sửa</t>
  </si>
  <si>
    <t>Hiển thị thông báo lỗi yêu cầu nhập Chi nhánh</t>
  </si>
  <si>
    <t>1. Để trống Email ;2. Nhấn Lưu chỉnh sửa</t>
  </si>
  <si>
    <t>1. Chỉnh sửa email không đúng định dạng
2. Nhấn Lưu chỉnh sửa</t>
  </si>
  <si>
    <t>1. Để trống Mã công ty0;2. Nhấn Lưu chỉnh sửa</t>
  </si>
  <si>
    <t>TC-26</t>
  </si>
  <si>
    <t>1. chỉnh sửa mã công ty đã tồn tại
2. Nhấn Lưu chỉnh sửa</t>
  </si>
  <si>
    <t>Hiển thị thông báo Mã công ty bảo hiểm  đã được sử dụng</t>
  </si>
  <si>
    <t>TC-27</t>
  </si>
  <si>
    <t>1. Chỉnh sửa tên công ty quá 255 ký tự
2. Nhấn Lưu chỉnh sửa</t>
  </si>
  <si>
    <t>TC-28</t>
  </si>
  <si>
    <t>1. Chỉnh sửa mã công ty ít hơn 2 ký tự
2. Nhấn Lưu chỉnh sửa</t>
  </si>
  <si>
    <t>TC-29</t>
  </si>
  <si>
    <t>Là Admin/Underwriter/Claim Oficer, tôi không thể tạo khi nhập Mã công ty vượt quá 5 ký tự</t>
  </si>
  <si>
    <t>1. Chỉnh sửa mã công ty vượt quá 5 ký tự
2. Nhấn Lưu chỉnh sửa</t>
  </si>
  <si>
    <t>TC-30</t>
  </si>
  <si>
    <t>Là Admin/Underwriter/Claim Oficer tôi có thể chinh sửa công ty bảo hiểm thành công</t>
  </si>
  <si>
    <t>Chỉnh sửa công ty bảo hiểm thành công</t>
  </si>
  <si>
    <t>1. Chỉnh sửa giá trị hợp lệ cho các trường
2. Nhấn nút "Lưu chỉnh sửa"</t>
  </si>
  <si>
    <t>Hiển thị thông báo Công ty bảo hiểm đã được cập nhật thành công</t>
  </si>
  <si>
    <t>TC-31</t>
  </si>
  <si>
    <t>Là Admin/Ubderwrite/ Claim tôi muốn mở màn hình xóa công ty bảo hiểm</t>
  </si>
  <si>
    <t xml:space="preserve">Xóa </t>
  </si>
  <si>
    <t>Đang ở mang hình danh sách</t>
  </si>
  <si>
    <t>Hiển thị màn hình xóa</t>
  </si>
  <si>
    <t>1. Nhấn icon Xóa</t>
  </si>
  <si>
    <t>Hiển thị màn hình xóa và hiển thị UI giống với figma</t>
  </si>
  <si>
    <t>TC-32</t>
  </si>
  <si>
    <t>Là Admin/Underwriter/Claim Oficer, tôi có thể xóa  công ty bảo hiểm chưa được dùng</t>
  </si>
  <si>
    <t>Đang ở màn hình xóa</t>
  </si>
  <si>
    <t>Xóa thành công</t>
  </si>
  <si>
    <r>
      <rPr>
        <sz val="11"/>
        <color rgb="FF000000"/>
        <rFont val="Aptos Narrow"/>
        <scheme val="minor"/>
      </rPr>
      <t xml:space="preserve">1. Nhấn icon </t>
    </r>
    <r>
      <rPr>
        <b/>
        <sz val="11"/>
        <color rgb="FF000000"/>
        <rFont val="Aptos Narrow"/>
        <scheme val="minor"/>
      </rPr>
      <t>Xóa
2. Nhấn  nút Xóa</t>
    </r>
  </si>
  <si>
    <t>Hiển thị thông báo Xóa công ty bảo hiểm thành công</t>
  </si>
  <si>
    <t>TC-33</t>
  </si>
  <si>
    <t>Là Admin/Underwriter/Claim Oficer, khi xóa công ty bảo hiểm đang dùng sẽ hiển thị lỗi</t>
  </si>
  <si>
    <t>Không cho phép xóa</t>
  </si>
  <si>
    <t>Hiển thị thông báo công ty bảo hiểm đang được sử dụng</t>
  </si>
  <si>
    <t>TC-34</t>
  </si>
  <si>
    <t>Là Admin/Underwriter/Claim Oficer, tôi muốn quay lại danh sách từ màn hình Tạo/Sửa</t>
  </si>
  <si>
    <t>Quay về màn hình danh sách Công ty Bảo hiểm</t>
  </si>
  <si>
    <t xml:space="preserve">Là Admin/Underwriter/Claim Oficer, tôi muốn truy cập màn hình Quản lý P&amp;L </t>
  </si>
  <si>
    <t>1. Đăng nhập Admin;2. Chọn Quản lý chung;3. Chọn P&amp;L</t>
  </si>
  <si>
    <t>Hiển thị màn hình Quản lý P&amp;L</t>
  </si>
  <si>
    <t>Là Admin/Underwriter/Claim Oficer, tôi muốn xem danh sách P&amp;L</t>
  </si>
  <si>
    <t>Hiển thị dữ liệu P&amp;L</t>
  </si>
  <si>
    <t>1. Truy cạp màn hình danh sách</t>
  </si>
  <si>
    <t>Hiển thị các cột: P&amp;L, Quản lý địa điểm, Trạng thái, Sửa, Xóa</t>
  </si>
  <si>
    <t>https://jira-vnv.vinova.sg/browse/BEEOS-580</t>
  </si>
  <si>
    <t>Là Admin/Underwriter/Claim Oficer, tôi muốn tìm kiếm P&amp;L</t>
  </si>
  <si>
    <t>Có dữ liệu P&amp;L</t>
  </si>
  <si>
    <t>Tìm theo tên P&amp;L</t>
  </si>
  <si>
    <t>Danh sách lọc đúng theo tên</t>
  </si>
  <si>
    <t>Có nhiều hơn 1 trang</t>
  </si>
  <si>
    <t>1. Nhấn Trang tiếp / Trang trước</t>
  </si>
  <si>
    <t>Hiển thị đúng dữ liệu theo trang</t>
  </si>
  <si>
    <t>Là Admin, tôi muốn sắp xếp theo thứ tự tăng dần cho cột P&amp;L</t>
  </si>
  <si>
    <t>Sắp xếp tăng dần  cho cột  P&amp;L</t>
  </si>
  <si>
    <t>1. Sắp xếp cột Tên  P&amp;L</t>
  </si>
  <si>
    <t>1. Hiển thị đúng  P&amp;L tăng dần</t>
  </si>
  <si>
    <t>Là Admin, tôi muốn sắp xếp theo thứ tự giảm dần cho cột  P&amp;L</t>
  </si>
  <si>
    <t>Sắp xếp  giảm dần cho cột  P&amp;L</t>
  </si>
  <si>
    <t>1. Sắp xếp cột   P&amp;L</t>
  </si>
  <si>
    <t>1. Hiển thị đúng  P&amp;L giảm dần</t>
  </si>
  <si>
    <t>Là Admin/Underwriter/Claim Oficer, tôi muốn mở màn hình tạo P&amp;L</t>
  </si>
  <si>
    <t>Mở form tạo</t>
  </si>
  <si>
    <t>Đang ở danh sách</t>
  </si>
  <si>
    <t>1. Nhấn + Thêm P&amp;L</t>
  </si>
  <si>
    <t>Mở màn hình Tạo P&amp;L mới và hiển thị UI giống với figma</t>
  </si>
  <si>
    <t>https://jira-vnv.vinova.sg/browse/BEEOS-582</t>
  </si>
  <si>
    <t>Là Admin/Underwriter/Claim Oficer, tôi muốn tạo P&amp;L hợp lệ</t>
  </si>
  <si>
    <t>Tạo P&amp;L thành công</t>
  </si>
  <si>
    <t>1. Nhập Tên P&amp;L;2. Nhập Ngành nghề kinh doanh; 3.  Nhấn Tạo P&amp;L mới</t>
  </si>
  <si>
    <t>P&amp;L được tạo và hiển thị trong danh sách</t>
  </si>
  <si>
    <t>Là Admin/Underwriter/Claim Oficer, tôi không thể tạo khi thiếu Tên P&amp;L</t>
  </si>
  <si>
    <t>Kiểm tra bắt buộc</t>
  </si>
  <si>
    <t>1. Để trống Tên P&amp;L;2. Nhấn Tạo</t>
  </si>
  <si>
    <t>Là Admin/Underwriter/Claim Oficer, tôi không thể tạo khi nhập trùng tên P&amp;L</t>
  </si>
  <si>
    <t>1. Nhập tên P&amp;L đã tồn tại trước đó;2. Nhấn Tạo</t>
  </si>
  <si>
    <t>Hiển thị thông báo tên P&amp;L đã tồn tại</t>
  </si>
  <si>
    <t>Là Admin/Underwriter/Claim Oficer, tôi muốn hủy tạo P&amp;L</t>
  </si>
  <si>
    <t>Quay về danh sách, không tạo P&amp;L</t>
  </si>
  <si>
    <t>Là Admin/Underwriter/Claim Oficer, tôi muốn sửa thông tin P&amp;L</t>
  </si>
  <si>
    <t>Có sẵn P&amp;L</t>
  </si>
  <si>
    <r>
      <t xml:space="preserve">1. Nhấn icon </t>
    </r>
    <r>
      <rPr>
        <b/>
        <sz val="11"/>
        <color theme="1"/>
        <rFont val="Aptos Narrow"/>
        <family val="2"/>
        <scheme val="minor"/>
      </rPr>
      <t>Sửa</t>
    </r>
  </si>
  <si>
    <t>Mở màn hình Sửa P&amp;L và hiển thị UI giống với figma</t>
  </si>
  <si>
    <t>Là Admin/Underwriter/Claim Oficer, tôi muốn lưu chỉnh sửa P&amp;L</t>
  </si>
  <si>
    <t>Cập nhật dữ liệu</t>
  </si>
  <si>
    <t>Thông tin P&amp;L được cập nhật</t>
  </si>
  <si>
    <t>Là Admin/Underwriter/Claim Oficer, tôi không thể chỉnh sửa khi thiếu Tên P&amp;L</t>
  </si>
  <si>
    <t>1. Để trống Tên P&amp;L;2. Nhấn Lưu chỉnh sửa</t>
  </si>
  <si>
    <t>Là Admin/Underwriter/Claim Oficer, tôi không thể chỉnh sửa khi nhập trùng tên P&amp;L</t>
  </si>
  <si>
    <t>1. Nhập tên P&amp;L đã tồn tại trước đó;2. Nhấn Lưu chỉnh sửa</t>
  </si>
  <si>
    <t>Là Admin/Ubderwrite/ Claim tôi muốn mở màn hình xóa P&amp;L</t>
  </si>
  <si>
    <t>Là Admin/Underwriter/Claim Oficer, tôi có thể xoa P&amp;L khi địa diểm chưa được dùng</t>
  </si>
  <si>
    <t>Hiển thị thông báo Xóa P&amp;L thành công</t>
  </si>
  <si>
    <t xml:space="preserve">Là Admin/Underwriter/Claim Oficer sẽ chuyển trạng thái khi vào xóa P&amp;L nhưng có   địa điểm đã được dùng </t>
  </si>
  <si>
    <t>Chuyển đổi trạng thái</t>
  </si>
  <si>
    <t>Chuyển đổi trạng thái từ đang hoạt động sang không hoạt động</t>
  </si>
  <si>
    <t>Là Admin/Underwriter/Claim Oficer, tôi muốn truy cập Quản lý địa điểm của P&amp;L</t>
  </si>
  <si>
    <t>Điều hướng danh sách địa điểm</t>
  </si>
  <si>
    <r>
      <rPr>
        <sz val="11"/>
        <color rgb="FF000000"/>
        <rFont val="Aptos Narrow"/>
        <scheme val="minor"/>
      </rPr>
      <t xml:space="preserve">1. Nhấn </t>
    </r>
    <r>
      <rPr>
        <b/>
        <sz val="11"/>
        <color rgb="FF000000"/>
        <rFont val="Aptos Narrow"/>
        <scheme val="minor"/>
      </rPr>
      <t>Quản lý địa điểm/ đối tượng BH</t>
    </r>
  </si>
  <si>
    <t>Mở màn hình danh sách địa điểm của P&amp;L</t>
  </si>
  <si>
    <t>Là Admin/Underwriter/Claim Oficer, tôi muốn xem danh sách Địa điểm</t>
  </si>
  <si>
    <t>Quản lý Địa điểm</t>
  </si>
  <si>
    <t>Đang ở màn hình địa điểm</t>
  </si>
  <si>
    <t>Hiển thị dữ liệu</t>
  </si>
  <si>
    <t>Hiển thị Tên địa điểm, Trạng thái, Sửa, Xóa</t>
  </si>
  <si>
    <t>Là Admin/Underwriter/Claim Oficer, tôi muốn tìm kiếm Địa điểm</t>
  </si>
  <si>
    <t>Có dữ liệu địa điểm</t>
  </si>
  <si>
    <t>Tìm theo tên địa điểm</t>
  </si>
  <si>
    <t>1. Nhập từ khóa tìm kiếm</t>
  </si>
  <si>
    <t>Danh sách lọc đúng</t>
  </si>
  <si>
    <t>Là Admin/Underwriter/Claim Oficer, tôi muốn tạo Địa điểm mới</t>
  </si>
  <si>
    <t>Tạo địa điểm</t>
  </si>
  <si>
    <r>
      <rPr>
        <sz val="11"/>
        <color rgb="FF000000"/>
        <rFont val="Aptos Narrow"/>
        <scheme val="minor"/>
      </rPr>
      <t xml:space="preserve">1. Nhấn </t>
    </r>
    <r>
      <rPr>
        <b/>
        <sz val="11"/>
        <color rgb="FF000000"/>
        <rFont val="Aptos Narrow"/>
        <scheme val="minor"/>
      </rPr>
      <t>+ Thêm địa điểm</t>
    </r>
    <r>
      <rPr>
        <sz val="11"/>
        <color rgb="FF000000"/>
        <rFont val="Aptos Narrow"/>
        <scheme val="minor"/>
      </rPr>
      <t xml:space="preserve">;2. Nhập Tên địa điểm/ đối tượng BH;3. Nhập tên đầ đủ; 4. Nhập địa chỉ 5. Nhấn </t>
    </r>
    <r>
      <rPr>
        <b/>
        <sz val="11"/>
        <color rgb="FF000000"/>
        <rFont val="Aptos Narrow"/>
        <scheme val="minor"/>
      </rPr>
      <t>Tạo địa điểm . đối tượng BH mới</t>
    </r>
  </si>
  <si>
    <t>Địa điểm được tạo thành công</t>
  </si>
  <si>
    <t>Là Admin/Underwriter/Claim Oficer, tôi không thể tạo Địa điểm khi thiếu Tên</t>
  </si>
  <si>
    <t>Validate</t>
  </si>
  <si>
    <t>1. Để trống Địa điểm/ đối tượng BH;2. Nhấn Tạo</t>
  </si>
  <si>
    <t>Hiển thị thông báo lỗi</t>
  </si>
  <si>
    <t>Là Admin/Underwriter/Claim Oficer, tôi không thể tạo Địa điểm khi nhập tên địa điểm đã tồn tại</t>
  </si>
  <si>
    <t>1. Tạo địa điểm đã tồn tại
2. Nhấn Tạo</t>
  </si>
  <si>
    <t>Là Admin/Underwriter/Claim Oficer, tôi muốn sửa Địa điểm</t>
  </si>
  <si>
    <t>Có sẵn địa điểm</t>
  </si>
  <si>
    <r>
      <t xml:space="preserve">Mở màn hình </t>
    </r>
    <r>
      <rPr>
        <b/>
        <sz val="11"/>
        <color theme="1"/>
        <rFont val="Aptos Narrow"/>
        <family val="2"/>
        <scheme val="minor"/>
      </rPr>
      <t>Sửa địa điểm</t>
    </r>
  </si>
  <si>
    <t>Là Admin/Underwriter/Claim Oficer, tôi muốn lưu chỉnh sửa Địa điểm</t>
  </si>
  <si>
    <t>Địa điểm được cập nhật</t>
  </si>
  <si>
    <t>Là Admin/Underwriter/Claim Oficer, tôi không thể chỉnh sửa Địa điểm khi nhập tên địa điểm đã tồn tại</t>
  </si>
  <si>
    <t>1. Tạo địa điểm đã tồn tại
2. Nhấn sửa</t>
  </si>
  <si>
    <t>Là Admin/Underwriter/Claim Oficer, tôi muốn xóa Địa điểm</t>
  </si>
  <si>
    <t>Địa điểm chưa được sử dụng</t>
  </si>
  <si>
    <r>
      <t xml:space="preserve">1. Nhấn icon </t>
    </r>
    <r>
      <rPr>
        <b/>
        <sz val="11"/>
        <color theme="1"/>
        <rFont val="Aptos Narrow"/>
        <family val="2"/>
        <scheme val="minor"/>
      </rPr>
      <t>Xóa</t>
    </r>
    <r>
      <rPr>
        <sz val="11"/>
        <color theme="1"/>
        <rFont val="Aptos Narrow"/>
        <family val="2"/>
        <scheme val="minor"/>
      </rPr>
      <t>;2. Xác nhận</t>
    </r>
  </si>
  <si>
    <t>Địa điểm bị xóa</t>
  </si>
  <si>
    <t>Là Admin/Underwriter/Claim Oficer, khi xóa địa điểm đã được sử dụng sẽ chuyển từ đang hoạt động sang không hoạt động</t>
  </si>
  <si>
    <t>Ràng buộc</t>
  </si>
  <si>
    <t>Địa điểm đã gán hồ sơ</t>
  </si>
  <si>
    <t>Là Admin/Underwriter/Claim Oficer, tôi muốn quay lại danh sách P&amp;L</t>
  </si>
  <si>
    <t>Đang ở màn hình Địa điểm/Tạo/Sửa</t>
  </si>
  <si>
    <t>Quay về màn hình danh sách P&amp;L</t>
  </si>
  <si>
    <t>Quản lý Địa điểm/ Đối tượng BH</t>
  </si>
  <si>
    <t>Lani</t>
  </si>
  <si>
    <t>Là Admin/Underwriter/Claim Oficer, tôi muốn truy cập màn hình Quản lý địa điểm/đối tượng BH để quản lý dữ liệu</t>
  </si>
  <si>
    <t>Quản lý địa điểm/đối tượng BH</t>
  </si>
  <si>
    <t>Admin/Underwriter/Claim Oficer đã đăng nhập</t>
  </si>
  <si>
    <t>Verify truy cập màn hình danh sách</t>
  </si>
  <si>
    <t>1. Đăng nhập bằng tài khoản Admin/Underwriter/Claim Oficer2. Vào menu Quản lý địa điểm/đối tượng BH</t>
  </si>
  <si>
    <t>Hiển thị màn hình danh sách “Quản lý địa điểm/đối tượng BH”</t>
  </si>
  <si>
    <t>Là Admin/Underwriter/Claim Oficer, tôi muốn xem danh sách địa điểm/đối tượng BH</t>
  </si>
  <si>
    <t>Verify hiển thị danh sách và cột</t>
  </si>
  <si>
    <r>
      <t xml:space="preserve">1. Bảng hiển thị dữ liệu2. Có cột </t>
    </r>
    <r>
      <rPr>
        <b/>
        <sz val="11"/>
        <color theme="1"/>
        <rFont val="Aptos Narrow"/>
        <family val="2"/>
        <scheme val="minor"/>
      </rPr>
      <t>Địa điểm/đối tượng BH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P&amp;L</t>
    </r>
    <r>
      <rPr>
        <sz val="11"/>
        <color theme="1"/>
        <rFont val="Aptos Narrow"/>
        <family val="2"/>
        <scheme val="minor"/>
      </rPr>
      <t xml:space="preserve"> và cột thao tác (Sửa/Xóa)</t>
    </r>
  </si>
  <si>
    <t>Là Admin/Underwriter/Claim Oficer, tôi muốn kiểm tra nút thêm mới để tạo địa điểm/đối tượng BH</t>
  </si>
  <si>
    <t>Verify nút “+ Thêm địa điểm/đối tượng BH” hoạt động</t>
  </si>
  <si>
    <r>
      <t xml:space="preserve">1. Tại danh sách, bấm </t>
    </r>
    <r>
      <rPr>
        <b/>
        <sz val="11"/>
        <color theme="1"/>
        <rFont val="Aptos Narrow"/>
        <family val="2"/>
        <scheme val="minor"/>
      </rPr>
      <t>+ Thêm địa điểm/đối tượng BH</t>
    </r>
  </si>
  <si>
    <r>
      <t xml:space="preserve">Điều hướng sang màn hình </t>
    </r>
    <r>
      <rPr>
        <b/>
        <sz val="11"/>
        <color theme="1"/>
        <rFont val="Aptos Narrow"/>
        <family val="2"/>
        <scheme val="minor"/>
      </rPr>
      <t>Thêm địa điểm/đối tượng BH</t>
    </r>
  </si>
  <si>
    <t>Là Admin/Underwriter/Claim Oficer, tôi muốn tìm kiếm theo từ khóa để lọc nhanh dữ liệu</t>
  </si>
  <si>
    <t>Có dữ liệu trong danh sách</t>
  </si>
  <si>
    <r>
      <t xml:space="preserve">Verify tìm kiếm bằng ô “Tìm kiếm” trả đúng kết quả </t>
    </r>
    <r>
      <rPr>
        <b/>
        <sz val="11"/>
        <color theme="1"/>
        <rFont val="Aptos Narrow"/>
        <family val="2"/>
        <scheme val="minor"/>
      </rPr>
      <t>[Applied filtering common rules]</t>
    </r>
  </si>
  <si>
    <t>1. Nhập từ khóa khớp với 1 bản ghi (ví dụ 1 phần tên “SHERATON”)2. Quan sát danh sách sau khi nhập</t>
  </si>
  <si>
    <t>Danh sách được lọc đúng theo từ khóa; chỉ còn các bản ghi phù hợp</t>
  </si>
  <si>
    <t>Là Admin/Underwriter/Claim Oficer, tôi muốn tìm kiếm không phân biệt HOA/thường để dễ dùng</t>
  </si>
  <si>
    <r>
      <t xml:space="preserve">Verify tìm kiếm không phân biệt hoa/thường </t>
    </r>
    <r>
      <rPr>
        <b/>
        <sz val="11"/>
        <color theme="1"/>
        <rFont val="Aptos Narrow"/>
        <family val="2"/>
        <scheme val="minor"/>
      </rPr>
      <t>[Applied filtering common rules]</t>
    </r>
  </si>
  <si>
    <t>1. Nhập từ khóa dạng thường (vd: “sheraton”)2. Nhập từ khóa dạng HOA (vd: “SHERATON”)</t>
  </si>
  <si>
    <t>Kết quả 2 lần tìm kiếm giống nhau</t>
  </si>
  <si>
    <t>Là Admin/Underwriter/Claim Oficer, tôi muốn sắp xếp theo thứ tự tăng dần cho Địa điểm/ Đối tượng BH</t>
  </si>
  <si>
    <t>Sắp xếp tăng dần  cho cột  Địa điểm/ Đối tượng BH</t>
  </si>
  <si>
    <t>1. Sắp xếp cột  Địa điểm/ Đối tượng BH</t>
  </si>
  <si>
    <t>1. Hiển thị đúng  Địa điểm/ Đối tượng BH theo danh sách tăng dần</t>
  </si>
  <si>
    <t>Là Admin/Underwriter/Claim Oficer, tôi muốn sắp xếp theo thứ tự giảm dần cho cột  Địa điểm/ Đối tượng BH</t>
  </si>
  <si>
    <t>Sắp xếp  giảm dần cho cột  Địa điểm/ Đối tượng BH</t>
  </si>
  <si>
    <t>1. Sắp xếp cột   Địa điểm/ Đối tượng BH</t>
  </si>
  <si>
    <t>1. Hiển thị đúng  Địa điểm/ Đối tượng BH theo danh sách giảm dần</t>
  </si>
  <si>
    <t>Là Admin/Underwriter/Claim Oficer, tôi muốn kiểm tra khi danh sách dài thì có cơ chế xem thêm (scroll/paging)</t>
  </si>
  <si>
    <t>Phân trang/Scroll</t>
  </si>
  <si>
    <t>Có nhiều bản ghi (vượt quá 1 màn hình)</t>
  </si>
  <si>
    <t>Verify hiển thị danh sách dài không vỡ layout</t>
  </si>
  <si>
    <t>1. Mở danh sách có nhiều bản ghi2. Scroll xuống cuối danh sách</t>
  </si>
  <si>
    <t>1. Scroll mượt, không vỡ UI2. Dữ liệu hiển thị liên tục/đúng trang (tùy cơ chế hệ thống)</t>
  </si>
  <si>
    <t>Là Admin/Underwriter/Claim Oficer, tôi muốn mở màn hình tạo mới để nhập thông tin</t>
  </si>
  <si>
    <t>Verify màn hình “Thêm địa điểm/đối tượng BH” hiển thị đúng field</t>
  </si>
  <si>
    <r>
      <t xml:space="preserve">1. Bấm </t>
    </r>
    <r>
      <rPr>
        <b/>
        <sz val="11"/>
        <color theme="1"/>
        <rFont val="Aptos Narrow"/>
        <family val="2"/>
        <scheme val="minor"/>
      </rPr>
      <t>+ Thêm địa điểm/đối tượng BH</t>
    </r>
  </si>
  <si>
    <r>
      <t xml:space="preserve">Hiển thị các field: </t>
    </r>
    <r>
      <rPr>
        <b/>
        <sz val="11"/>
        <color theme="1"/>
        <rFont val="Aptos Narrow"/>
        <family val="2"/>
        <scheme val="minor"/>
      </rPr>
      <t>P&amp;L</t>
    </r>
    <r>
      <rPr>
        <sz val="11"/>
        <color theme="1"/>
        <rFont val="Aptos Narrow"/>
        <family val="2"/>
        <scheme val="minor"/>
      </rPr>
      <t xml:space="preserve">* (dropdown), </t>
    </r>
    <r>
      <rPr>
        <b/>
        <sz val="11"/>
        <color theme="1"/>
        <rFont val="Aptos Narrow"/>
        <family val="2"/>
        <scheme val="minor"/>
      </rPr>
      <t>Địa điểm/đối tượng BH</t>
    </r>
    <r>
      <rPr>
        <sz val="11"/>
        <color theme="1"/>
        <rFont val="Aptos Narrow"/>
        <family val="2"/>
        <scheme val="minor"/>
      </rPr>
      <t xml:space="preserve">*, </t>
    </r>
    <r>
      <rPr>
        <b/>
        <sz val="11"/>
        <color theme="1"/>
        <rFont val="Aptos Narrow"/>
        <family val="2"/>
        <scheme val="minor"/>
      </rPr>
      <t>Tên đầy đủ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Địa chỉ</t>
    </r>
    <r>
      <rPr>
        <sz val="11"/>
        <color theme="1"/>
        <rFont val="Aptos Narrow"/>
        <family val="2"/>
        <scheme val="minor"/>
      </rPr>
      <t xml:space="preserve">; có nút </t>
    </r>
    <r>
      <rPr>
        <b/>
        <sz val="11"/>
        <color theme="1"/>
        <rFont val="Aptos Narrow"/>
        <family val="2"/>
        <scheme val="minor"/>
      </rPr>
      <t>Bỏ qua</t>
    </r>
    <r>
      <rPr>
        <sz val="11"/>
        <color theme="1"/>
        <rFont val="Aptos Narrow"/>
        <family val="2"/>
        <scheme val="minor"/>
      </rPr>
      <t xml:space="preserve"> và </t>
    </r>
    <r>
      <rPr>
        <b/>
        <sz val="11"/>
        <color theme="1"/>
        <rFont val="Aptos Narrow"/>
        <family val="2"/>
        <scheme val="minor"/>
      </rPr>
      <t>Tạo … mới</t>
    </r>
  </si>
  <si>
    <t>Là Admin/Underwriter/Claim Oficer, tôi muốn tạo mới với dữ liệu hợp lệ</t>
  </si>
  <si>
    <t>Có quyền tạo; P&amp;L có dữ liệu</t>
  </si>
  <si>
    <t>Verify tạo mới thành công</t>
  </si>
  <si>
    <r>
      <t xml:space="preserve">1. Chọn </t>
    </r>
    <r>
      <rPr>
        <b/>
        <sz val="11"/>
        <color theme="1"/>
        <rFont val="Aptos Narrow"/>
        <family val="2"/>
        <scheme val="minor"/>
      </rPr>
      <t>P&amp;L</t>
    </r>
    <r>
      <rPr>
        <sz val="11"/>
        <color theme="1"/>
        <rFont val="Aptos Narrow"/>
        <family val="2"/>
        <scheme val="minor"/>
      </rPr>
      <t xml:space="preserve"> hợp lệ2. Nhập </t>
    </r>
    <r>
      <rPr>
        <b/>
        <sz val="11"/>
        <color theme="1"/>
        <rFont val="Aptos Narrow"/>
        <family val="2"/>
        <scheme val="minor"/>
      </rPr>
      <t>Địa điểm/đối tượng BH</t>
    </r>
    <r>
      <rPr>
        <sz val="11"/>
        <color theme="1"/>
        <rFont val="Aptos Narrow"/>
        <family val="2"/>
        <scheme val="minor"/>
      </rPr>
      <t xml:space="preserve"> hợp lệ3. (Optional) Nhập </t>
    </r>
    <r>
      <rPr>
        <b/>
        <sz val="11"/>
        <color theme="1"/>
        <rFont val="Aptos Narrow"/>
        <family val="2"/>
        <scheme val="minor"/>
      </rPr>
      <t>Tên đầy đủ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Địa chỉ</t>
    </r>
    <r>
      <rPr>
        <sz val="11"/>
        <color theme="1"/>
        <rFont val="Aptos Narrow"/>
        <family val="2"/>
        <scheme val="minor"/>
      </rPr>
      <t xml:space="preserve">4. Bấm </t>
    </r>
    <r>
      <rPr>
        <b/>
        <sz val="11"/>
        <color theme="1"/>
        <rFont val="Aptos Narrow"/>
        <family val="2"/>
        <scheme val="minor"/>
      </rPr>
      <t>Tạo địa điểm/đối tượng BH mới</t>
    </r>
  </si>
  <si>
    <t>1. Tạo thành công, hiển thị thông báo thành công 2. Quay về danh sách và thấy bản ghi mới</t>
  </si>
  <si>
    <t>Là Admin/Underwriter/Claim Oficer, tôi muốn validate bắt buộc chọn P&amp;L</t>
  </si>
  <si>
    <t>Đang ở form tạo mới</t>
  </si>
  <si>
    <t>Verify required field P&amp;L</t>
  </si>
  <si>
    <r>
      <t xml:space="preserve">1. Không chọn </t>
    </r>
    <r>
      <rPr>
        <b/>
        <sz val="11"/>
        <color theme="1"/>
        <rFont val="Aptos Narrow"/>
        <family val="2"/>
        <scheme val="minor"/>
      </rPr>
      <t>P&amp;L</t>
    </r>
    <r>
      <rPr>
        <sz val="11"/>
        <color theme="1"/>
        <rFont val="Aptos Narrow"/>
        <family val="2"/>
        <scheme val="minor"/>
      </rPr>
      <t xml:space="preserve">2. Nhập </t>
    </r>
    <r>
      <rPr>
        <b/>
        <sz val="11"/>
        <color theme="1"/>
        <rFont val="Aptos Narrow"/>
        <family val="2"/>
        <scheme val="minor"/>
      </rPr>
      <t>Địa điểm/đối tượng BH</t>
    </r>
    <r>
      <rPr>
        <sz val="11"/>
        <color theme="1"/>
        <rFont val="Aptos Narrow"/>
        <family val="2"/>
        <scheme val="minor"/>
      </rPr>
      <t xml:space="preserve"> bất kỳ3. Bấm </t>
    </r>
    <r>
      <rPr>
        <b/>
        <sz val="11"/>
        <color theme="1"/>
        <rFont val="Aptos Narrow"/>
        <family val="2"/>
        <scheme val="minor"/>
      </rPr>
      <t>Tạo…</t>
    </r>
  </si>
  <si>
    <t>Hiển thị cảnh báo required cho P&amp;L; không tạo mới</t>
  </si>
  <si>
    <t>Là Admin/Underwriter/Claim Oficer, tôi muốn validate bắt buộc nhập Địa điểm/đối tượng BH</t>
  </si>
  <si>
    <t>Verify required field Địa điểm/đối tượng BH</t>
  </si>
  <si>
    <r>
      <t xml:space="preserve">1. Chọn </t>
    </r>
    <r>
      <rPr>
        <b/>
        <sz val="11"/>
        <color theme="1"/>
        <rFont val="Aptos Narrow"/>
        <family val="2"/>
        <scheme val="minor"/>
      </rPr>
      <t>P&amp;L</t>
    </r>
    <r>
      <rPr>
        <sz val="11"/>
        <color theme="1"/>
        <rFont val="Aptos Narrow"/>
        <family val="2"/>
        <scheme val="minor"/>
      </rPr>
      <t xml:space="preserve">2. Để trống </t>
    </r>
    <r>
      <rPr>
        <b/>
        <sz val="11"/>
        <color theme="1"/>
        <rFont val="Aptos Narrow"/>
        <family val="2"/>
        <scheme val="minor"/>
      </rPr>
      <t>Địa điểm/đối tượng BH</t>
    </r>
    <r>
      <rPr>
        <sz val="11"/>
        <color theme="1"/>
        <rFont val="Aptos Narrow"/>
        <family val="2"/>
        <scheme val="minor"/>
      </rPr>
      <t xml:space="preserve">3. Bấm </t>
    </r>
    <r>
      <rPr>
        <b/>
        <sz val="11"/>
        <color theme="1"/>
        <rFont val="Aptos Narrow"/>
        <family val="2"/>
        <scheme val="minor"/>
      </rPr>
      <t>Tạo…</t>
    </r>
  </si>
  <si>
    <t>Hiển thị cảnh báo required cho Địa điểm/đối tượng BH; không tạo mới</t>
  </si>
  <si>
    <t>Là Admin/Underwriter/Claim Oficer, tôi muốn tránh tạo trùng tên trong cùng P&amp;L (nếu có rule)</t>
  </si>
  <si>
    <t>Đang ở form; đã tồn tại bản ghi cùng tên</t>
  </si>
  <si>
    <t>Verify không cho tạo trùng (duplicate)</t>
  </si>
  <si>
    <r>
      <rPr>
        <sz val="11"/>
        <color rgb="FF000000"/>
        <rFont val="Aptos Narrow"/>
        <scheme val="minor"/>
      </rPr>
      <t xml:space="preserve">1. Chọn </t>
    </r>
    <r>
      <rPr>
        <b/>
        <sz val="11"/>
        <color rgb="FF000000"/>
        <rFont val="Aptos Narrow"/>
        <scheme val="minor"/>
      </rPr>
      <t>P&amp;L</t>
    </r>
    <r>
      <rPr>
        <sz val="11"/>
        <color rgb="FF000000"/>
        <rFont val="Aptos Narrow"/>
        <scheme val="minor"/>
      </rPr>
      <t xml:space="preserve"> A2. Nhập </t>
    </r>
    <r>
      <rPr>
        <b/>
        <sz val="11"/>
        <color rgb="FF000000"/>
        <rFont val="Aptos Narrow"/>
        <scheme val="minor"/>
      </rPr>
      <t>Địa điểm/đối tượng BH</t>
    </r>
    <r>
      <rPr>
        <sz val="11"/>
        <color rgb="FF000000"/>
        <rFont val="Aptos Narrow"/>
        <scheme val="minor"/>
      </rPr>
      <t xml:space="preserve"> đã tồn tại A3. Bấm </t>
    </r>
    <r>
      <rPr>
        <b/>
        <sz val="11"/>
        <color rgb="FF000000"/>
        <rFont val="Aptos Narrow"/>
        <scheme val="minor"/>
      </rPr>
      <t>Tạo…</t>
    </r>
  </si>
  <si>
    <t xml:space="preserve">Hệ thống hiển thị thông báo trùng; không tạo mới </t>
  </si>
  <si>
    <t>Là Admin/Underwriter/Claim Oficer, tôi muốn bỏ qua tạo mới để quay lại danh sách</t>
  </si>
  <si>
    <t>Verify nút “Bỏ qua”</t>
  </si>
  <si>
    <r>
      <t xml:space="preserve">1. Nhập thử dữ liệu (không cần lưu)2. Bấm </t>
    </r>
    <r>
      <rPr>
        <b/>
        <sz val="11"/>
        <color theme="1"/>
        <rFont val="Aptos Narrow"/>
        <family val="2"/>
        <scheme val="minor"/>
      </rPr>
      <t>Bỏ qua</t>
    </r>
  </si>
  <si>
    <t>Quay lại danh sách; không tạo bản ghi mới</t>
  </si>
  <si>
    <t>Là Admin/Underwriter/Claim Oficer, tôi muốn quay lại bằng nút “Quay lại”</t>
  </si>
  <si>
    <t>Verify “Quay lại” hoạt động</t>
  </si>
  <si>
    <r>
      <t xml:space="preserve">1. Bấm </t>
    </r>
    <r>
      <rPr>
        <b/>
        <sz val="11"/>
        <color theme="1"/>
        <rFont val="Aptos Narrow"/>
        <family val="2"/>
        <scheme val="minor"/>
      </rPr>
      <t>Quay lại</t>
    </r>
    <r>
      <rPr>
        <sz val="11"/>
        <color theme="1"/>
        <rFont val="Aptos Narrow"/>
        <family val="2"/>
        <scheme val="minor"/>
      </rPr>
      <t xml:space="preserve"> (góc trên trái)</t>
    </r>
  </si>
  <si>
    <t>Quay về danh sách; không tạo mới nếu chưa lưu</t>
  </si>
  <si>
    <t>Là Admin/Underwriter/Claim Oficer, tôi muốn chỉnh sửa bản ghi hiện có</t>
  </si>
  <si>
    <t>Có ít nhất 1 bản ghi</t>
  </si>
  <si>
    <t>Verify mở form chỉnh sửa từ icon bút chì</t>
  </si>
  <si>
    <r>
      <t xml:space="preserve">1. Tại danh sách, bấm icon </t>
    </r>
    <r>
      <rPr>
        <b/>
        <sz val="11"/>
        <color theme="1"/>
        <rFont val="Aptos Narrow"/>
        <family val="2"/>
        <scheme val="minor"/>
      </rPr>
      <t>Sửa (bút chì)</t>
    </r>
    <r>
      <rPr>
        <sz val="11"/>
        <color theme="1"/>
        <rFont val="Aptos Narrow"/>
        <family val="2"/>
        <scheme val="minor"/>
      </rPr>
      <t xml:space="preserve"> của 1 dòng</t>
    </r>
  </si>
  <si>
    <t>Điều hướng sang form chỉnh sửa; dữ liệu được prefill đúng theo bản ghi</t>
  </si>
  <si>
    <t>Là Admin/Underwriter/Claim Oficer, tôi muốn lưu chỉnh sửa thành công</t>
  </si>
  <si>
    <t>Đang ở form chỉnh sửa</t>
  </si>
  <si>
    <t>Verify chỉnh sửa &amp; lưu thành công</t>
  </si>
  <si>
    <r>
      <t xml:space="preserve">1. Thay đổi </t>
    </r>
    <r>
      <rPr>
        <b/>
        <sz val="11"/>
        <color theme="1"/>
        <rFont val="Aptos Narrow"/>
        <family val="2"/>
        <scheme val="minor"/>
      </rPr>
      <t>Tên đầy đủ</t>
    </r>
    <r>
      <rPr>
        <sz val="11"/>
        <color theme="1"/>
        <rFont val="Aptos Narrow"/>
        <family val="2"/>
        <scheme val="minor"/>
      </rPr>
      <t xml:space="preserve"> hoặc </t>
    </r>
    <r>
      <rPr>
        <b/>
        <sz val="11"/>
        <color theme="1"/>
        <rFont val="Aptos Narrow"/>
        <family val="2"/>
        <scheme val="minor"/>
      </rPr>
      <t>Địa chỉ</t>
    </r>
    <r>
      <rPr>
        <sz val="11"/>
        <color theme="1"/>
        <rFont val="Aptos Narrow"/>
        <family val="2"/>
        <scheme val="minor"/>
      </rPr>
      <t xml:space="preserve"> hoặc </t>
    </r>
    <r>
      <rPr>
        <b/>
        <sz val="11"/>
        <color theme="1"/>
        <rFont val="Aptos Narrow"/>
        <family val="2"/>
        <scheme val="minor"/>
      </rPr>
      <t>Địa điểm/đối tượng BH</t>
    </r>
    <r>
      <rPr>
        <sz val="11"/>
        <color theme="1"/>
        <rFont val="Aptos Narrow"/>
        <family val="2"/>
        <scheme val="minor"/>
      </rPr>
      <t xml:space="preserve"> (theo quyền cho phép)2. Bấm nút lưu (nút màu cam)</t>
    </r>
  </si>
  <si>
    <t>1. Lưu thành công, thông báo thành công (nếu có)2. Quay về danh sách và hiển thị dữ liệu mới</t>
  </si>
  <si>
    <t>Là Admin/Underwriter/Claim Oficer, tôi muốn validate required khi chỉnh sửa</t>
  </si>
  <si>
    <t>Verify required vẫn áp dụng khi edit</t>
  </si>
  <si>
    <r>
      <t xml:space="preserve">1. Xóa giá trị </t>
    </r>
    <r>
      <rPr>
        <b/>
        <sz val="11"/>
        <color theme="1"/>
        <rFont val="Aptos Narrow"/>
        <family val="2"/>
        <scheme val="minor"/>
      </rPr>
      <t>P&amp;L</t>
    </r>
    <r>
      <rPr>
        <sz val="11"/>
        <color theme="1"/>
        <rFont val="Aptos Narrow"/>
        <family val="2"/>
        <scheme val="minor"/>
      </rPr>
      <t xml:space="preserve"> (nếu cho phép) hoặc </t>
    </r>
    <r>
      <rPr>
        <b/>
        <sz val="11"/>
        <color theme="1"/>
        <rFont val="Aptos Narrow"/>
        <family val="2"/>
        <scheme val="minor"/>
      </rPr>
      <t>Địa điểm/đối tượng BH</t>
    </r>
    <r>
      <rPr>
        <sz val="11"/>
        <color theme="1"/>
        <rFont val="Aptos Narrow"/>
        <family val="2"/>
        <scheme val="minor"/>
      </rPr>
      <t>2. Bấm lưu</t>
    </r>
  </si>
  <si>
    <t>Hiển thị lỗi required; không lưu</t>
  </si>
  <si>
    <t>Là Admin/Underwriter/Claim Oficer, tôi muốn không bị mất dữ liệu khi mở sửa và quay lại</t>
  </si>
  <si>
    <t>Verify hủy chỉnh sửa không lưu</t>
  </si>
  <si>
    <r>
      <rPr>
        <sz val="11"/>
        <color rgb="FF000000"/>
        <rFont val="Aptos Narrow"/>
        <scheme val="minor"/>
      </rPr>
      <t xml:space="preserve">1. Sửa dữ liệu nhưng không lưu2. Bấm </t>
    </r>
    <r>
      <rPr>
        <b/>
        <sz val="11"/>
        <color rgb="FF000000"/>
        <rFont val="Aptos Narrow"/>
        <scheme val="minor"/>
      </rPr>
      <t>Quay lại</t>
    </r>
    <r>
      <rPr>
        <sz val="11"/>
        <color rgb="FF000000"/>
        <rFont val="Aptos Narrow"/>
        <scheme val="minor"/>
      </rPr>
      <t xml:space="preserve"> hoặc </t>
    </r>
    <r>
      <rPr>
        <b/>
        <sz val="11"/>
        <color rgb="FF000000"/>
        <rFont val="Aptos Narrow"/>
        <scheme val="minor"/>
      </rPr>
      <t>Bỏ qua</t>
    </r>
  </si>
  <si>
    <t>Quay về danh sách; dữ liệu bản ghi không thay đổi</t>
  </si>
  <si>
    <t>Là Admin/Underwriter/Claim Oficer, tôi muốn xóa bản ghi</t>
  </si>
  <si>
    <t>Verify thao tác xóa từ icon thùng rác</t>
  </si>
  <si>
    <r>
      <t xml:space="preserve">1. Tại danh sách, bấm icon </t>
    </r>
    <r>
      <rPr>
        <b/>
        <sz val="11"/>
        <color theme="1"/>
        <rFont val="Aptos Narrow"/>
        <family val="2"/>
        <scheme val="minor"/>
      </rPr>
      <t>Xóa (thùng rác)</t>
    </r>
    <r>
      <rPr>
        <sz val="11"/>
        <color theme="1"/>
        <rFont val="Aptos Narrow"/>
        <family val="2"/>
        <scheme val="minor"/>
      </rPr>
      <t xml:space="preserve"> của 1 dòng</t>
    </r>
  </si>
  <si>
    <t>Hiển thị popup/modal xác nhận xóa (hoặc cơ chế xác nhận tương đương)</t>
  </si>
  <si>
    <t>Là Admin/Underwriter/Claim Oficer, tôi muốn hủy xóa khi bấm nhầm</t>
  </si>
  <si>
    <t>Đang mở xác nhận xóa</t>
  </si>
  <si>
    <t>Verify hủy xóa</t>
  </si>
  <si>
    <r>
      <t xml:space="preserve">1. Bấm </t>
    </r>
    <r>
      <rPr>
        <b/>
        <sz val="11"/>
        <color theme="1"/>
        <rFont val="Aptos Narrow"/>
        <family val="2"/>
        <scheme val="minor"/>
      </rPr>
      <t>Hủy/Cancel/Đóng</t>
    </r>
    <r>
      <rPr>
        <sz val="11"/>
        <color theme="1"/>
        <rFont val="Aptos Narrow"/>
        <family val="2"/>
        <scheme val="minor"/>
      </rPr>
      <t xml:space="preserve"> trên popup xác nhận</t>
    </r>
  </si>
  <si>
    <t>Popup đóng; bản ghi vẫn còn trên danh sách</t>
  </si>
  <si>
    <t>Là Admin/Underwriter/Claim Oficer, tôi muốn xác nhận xóa thành công</t>
  </si>
  <si>
    <t>Verify xóa thành công</t>
  </si>
  <si>
    <r>
      <t xml:space="preserve">1. Bấm </t>
    </r>
    <r>
      <rPr>
        <b/>
        <sz val="11"/>
        <color theme="1"/>
        <rFont val="Aptos Narrow"/>
        <family val="2"/>
        <scheme val="minor"/>
      </rPr>
      <t>Xác nhận/Đồng ý</t>
    </r>
    <r>
      <rPr>
        <sz val="11"/>
        <color theme="1"/>
        <rFont val="Aptos Narrow"/>
        <family val="2"/>
        <scheme val="minor"/>
      </rPr>
      <t xml:space="preserve"> xóa</t>
    </r>
  </si>
  <si>
    <t>1. Xóa thành công, có thông báo (nếu có)2. Bản ghi biến mất khỏi danh sách (hoặc chuyển trạng thái theo rule)</t>
  </si>
  <si>
    <t>Là Admin/Underwriter/Claim Oficer, tôi muốn hệ thống chặn xóa nếu bản ghi đang được sử dụng (nếu có ràng buộc)</t>
  </si>
  <si>
    <t>Bản ghi đang được tham chiếu ở nơi khác</t>
  </si>
  <si>
    <t>Verify không cho xóa khi có ràng buộc</t>
  </si>
  <si>
    <t>1. Chọn bản ghi đang được sử dụng 2. Thực hiện xóa</t>
  </si>
  <si>
    <t>Hệ thống chặn xóa; bản ghi vẫn còn</t>
  </si>
  <si>
    <t>Là Admin, tôi muốn truy cập màn hình Quản lý tài khoản</t>
  </si>
  <si>
    <t>Quản lý Tài khoản</t>
  </si>
  <si>
    <r>
      <t xml:space="preserve">1. Đăng nhập bằng tài khoản Admin2. Vào menu </t>
    </r>
    <r>
      <rPr>
        <b/>
        <sz val="11"/>
        <color theme="1"/>
        <rFont val="Aptos Narrow"/>
        <family val="2"/>
        <scheme val="minor"/>
      </rPr>
      <t>Quản lý Tài khoản</t>
    </r>
  </si>
  <si>
    <t>Hiển thị màn hình “Quản lý Tài khoản”</t>
  </si>
  <si>
    <t>Là Admin, tôi muốn xem danh sách tài khoản</t>
  </si>
  <si>
    <t>Đang ở màn hình Quản lý Tài khoản</t>
  </si>
  <si>
    <t>Verify hiển thị danh sách &amp; cột</t>
  </si>
  <si>
    <r>
      <t xml:space="preserve">Hiển thị bảng có các cột: </t>
    </r>
    <r>
      <rPr>
        <b/>
        <sz val="11"/>
        <color theme="1"/>
        <rFont val="Aptos Narrow"/>
        <family val="2"/>
        <scheme val="minor"/>
      </rPr>
      <t>Tên người dùng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Vai trò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Email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Ngày tạo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Đăng nhập lần cuối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Trạng thái</t>
    </r>
    <r>
      <rPr>
        <sz val="11"/>
        <color theme="1"/>
        <rFont val="Aptos Narrow"/>
        <family val="2"/>
        <scheme val="minor"/>
      </rPr>
      <t>, và cột thao tác (Sửa/Xóa)</t>
    </r>
  </si>
  <si>
    <t>Là Admin, tôi muốn mở form tạo tài khoản mới</t>
  </si>
  <si>
    <t>Điều hướng tạo</t>
  </si>
  <si>
    <t>Verify nút “+ Thêm tài khoản”</t>
  </si>
  <si>
    <r>
      <t xml:space="preserve">1. Bấm </t>
    </r>
    <r>
      <rPr>
        <b/>
        <sz val="11"/>
        <color theme="1"/>
        <rFont val="Aptos Narrow"/>
        <family val="2"/>
        <scheme val="minor"/>
      </rPr>
      <t>+ Thêm tài khoản</t>
    </r>
  </si>
  <si>
    <r>
      <t xml:space="preserve">Điều hướng sang màn hình </t>
    </r>
    <r>
      <rPr>
        <b/>
        <sz val="11"/>
        <color theme="1"/>
        <rFont val="Aptos Narrow"/>
        <family val="2"/>
        <scheme val="minor"/>
      </rPr>
      <t>Tạo tài khoản</t>
    </r>
  </si>
  <si>
    <t>Là Admin, tôi muốn tìm kiếm tài khoản theo từ khóa</t>
  </si>
  <si>
    <t>Có dữ liệu danh sách</t>
  </si>
  <si>
    <r>
      <t xml:space="preserve">Verify tìm kiếm bằng ô “Tìm kiếm” </t>
    </r>
    <r>
      <rPr>
        <b/>
        <sz val="11"/>
        <color theme="1"/>
        <rFont val="Aptos Narrow"/>
        <family val="2"/>
        <scheme val="minor"/>
      </rPr>
      <t>[Applied filtering common rules]</t>
    </r>
  </si>
  <si>
    <r>
      <rPr>
        <sz val="11"/>
        <color rgb="FF000000"/>
        <rFont val="Aptos Narrow"/>
        <scheme val="minor"/>
      </rPr>
      <t xml:space="preserve">1. Nhập từ khóa theo </t>
    </r>
    <r>
      <rPr>
        <b/>
        <sz val="11"/>
        <color rgb="FF000000"/>
        <rFont val="Aptos Narrow"/>
        <scheme val="minor"/>
      </rPr>
      <t xml:space="preserve">Tên người dùng
</t>
    </r>
    <r>
      <rPr>
        <sz val="11"/>
        <color rgb="FF000000"/>
        <rFont val="Aptos Narrow"/>
        <scheme val="minor"/>
      </rPr>
      <t>2. Nhấn Enter 
3.  Quan sát danh sách</t>
    </r>
  </si>
  <si>
    <t>Danh sách lọc đúng theo từ khóa; hiển thị các bản ghi phù hợp</t>
  </si>
  <si>
    <t>Là Admin, tôi muốn sắp xếp theo thứ tự tăng dần và giảm dần cho cột Tên người dùng</t>
  </si>
  <si>
    <t>Sắp xếp tăng dần và giảm dần cho cột Tên người dùng</t>
  </si>
  <si>
    <t>1. Sắp xếp cột Tên người dùng tăng dần
2. Sắp xếp cột tên người dùng giảm dần</t>
  </si>
  <si>
    <t>1. Hiển thị đúng Tên người dùng tăng dần
2. Hiển thị đúng Tên người dùng giảm dần dần</t>
  </si>
  <si>
    <t>Là Admin, tôi muốn sắp xếp theo thứ tự tăng dần và giảm dần cho cột Vai trò</t>
  </si>
  <si>
    <t>Sắp xếp tăng dần và giảm dần cho cột Vai trò</t>
  </si>
  <si>
    <t>1. Sắp xếp cột Vai trò tăng dần
2. Sắp xếp cột Vai trò giảm dần</t>
  </si>
  <si>
    <t xml:space="preserve">1. Hiển thị đúng Vai trò tăng dần
2. Hiển thị đúng Vai trò giảm dần </t>
  </si>
  <si>
    <t>Là Admin, tôi muốn sắp xếp theo thứ tự tăng dần và giảm dần cho cột trạng thái</t>
  </si>
  <si>
    <t>Sắp xếp tăng dần và giảm dần cho cột Trạng thái</t>
  </si>
  <si>
    <t>1. Sắp xếp cột Trạng thái tăng dần
2. Sắp xếp cột Trạng thái giảm dần</t>
  </si>
  <si>
    <t xml:space="preserve">1. Hiển thị đúng Trạng thái tăng dần
2. Hiển thị đúng Trạng thái giảm dần </t>
  </si>
  <si>
    <t>Là Admin, tôi muốn tạo tài khoản mới với dữ liệu hợp lệ</t>
  </si>
  <si>
    <t>Admin có quyền tạo</t>
  </si>
  <si>
    <t>Verify tạo tài khoản thành công</t>
  </si>
  <si>
    <r>
      <t xml:space="preserve">1. Bấm </t>
    </r>
    <r>
      <rPr>
        <b/>
        <sz val="11"/>
        <color theme="1"/>
        <rFont val="Aptos Narrow"/>
        <family val="2"/>
        <scheme val="minor"/>
      </rPr>
      <t>+ Thêm tài khoản</t>
    </r>
    <r>
      <rPr>
        <sz val="11"/>
        <color theme="1"/>
        <rFont val="Aptos Narrow"/>
        <family val="2"/>
        <scheme val="minor"/>
      </rPr>
      <t xml:space="preserve">2. Nhập </t>
    </r>
    <r>
      <rPr>
        <b/>
        <sz val="11"/>
        <color theme="1"/>
        <rFont val="Aptos Narrow"/>
        <family val="2"/>
        <scheme val="minor"/>
      </rPr>
      <t>Tên người dùng</t>
    </r>
    <r>
      <rPr>
        <sz val="11"/>
        <color theme="1"/>
        <rFont val="Aptos Narrow"/>
        <family val="2"/>
        <scheme val="minor"/>
      </rPr>
      <t xml:space="preserve">*3. Chọn </t>
    </r>
    <r>
      <rPr>
        <b/>
        <sz val="11"/>
        <color theme="1"/>
        <rFont val="Aptos Narrow"/>
        <family val="2"/>
        <scheme val="minor"/>
      </rPr>
      <t>Vai trò</t>
    </r>
    <r>
      <rPr>
        <sz val="11"/>
        <color theme="1"/>
        <rFont val="Aptos Narrow"/>
        <family val="2"/>
        <scheme val="minor"/>
      </rPr>
      <t xml:space="preserve">*4. Nhập </t>
    </r>
    <r>
      <rPr>
        <b/>
        <sz val="11"/>
        <color theme="1"/>
        <rFont val="Aptos Narrow"/>
        <family val="2"/>
        <scheme val="minor"/>
      </rPr>
      <t>Email</t>
    </r>
    <r>
      <rPr>
        <sz val="11"/>
        <color theme="1"/>
        <rFont val="Aptos Narrow"/>
        <family val="2"/>
        <scheme val="minor"/>
      </rPr>
      <t xml:space="preserve">* hợp lệ5. (Optional) Nhập </t>
    </r>
    <r>
      <rPr>
        <b/>
        <sz val="11"/>
        <color theme="1"/>
        <rFont val="Aptos Narrow"/>
        <family val="2"/>
        <scheme val="minor"/>
      </rPr>
      <t>Số điện thoại</t>
    </r>
    <r>
      <rPr>
        <sz val="11"/>
        <color theme="1"/>
        <rFont val="Aptos Narrow"/>
        <family val="2"/>
        <scheme val="minor"/>
      </rPr>
      <t xml:space="preserve">6. Nhập </t>
    </r>
    <r>
      <rPr>
        <b/>
        <sz val="11"/>
        <color theme="1"/>
        <rFont val="Aptos Narrow"/>
        <family val="2"/>
        <scheme val="minor"/>
      </rPr>
      <t>Mật khẩu</t>
    </r>
    <r>
      <rPr>
        <sz val="11"/>
        <color theme="1"/>
        <rFont val="Aptos Narrow"/>
        <family val="2"/>
        <scheme val="minor"/>
      </rPr>
      <t xml:space="preserve">* theo rule7. Chọn </t>
    </r>
    <r>
      <rPr>
        <b/>
        <sz val="11"/>
        <color theme="1"/>
        <rFont val="Aptos Narrow"/>
        <family val="2"/>
        <scheme val="minor"/>
      </rPr>
      <t>Trạng thái</t>
    </r>
    <r>
      <rPr>
        <sz val="11"/>
        <color theme="1"/>
        <rFont val="Aptos Narrow"/>
        <family val="2"/>
        <scheme val="minor"/>
      </rPr>
      <t xml:space="preserve">*8. Bấm </t>
    </r>
    <r>
      <rPr>
        <b/>
        <sz val="11"/>
        <color theme="1"/>
        <rFont val="Aptos Narrow"/>
        <family val="2"/>
        <scheme val="minor"/>
      </rPr>
      <t>Tạo tài khoản mới</t>
    </r>
  </si>
  <si>
    <t>1. Tạo thành công, có thông báo 2. Quay về danh sách và thấy user mới với đúng Vai trò/Email/Trạng thái</t>
  </si>
  <si>
    <t>Là Admin, tôi muốn validate bắt buộc của các field khi tạo</t>
  </si>
  <si>
    <t>Đang ở form tạo</t>
  </si>
  <si>
    <t>Verify required field</t>
  </si>
  <si>
    <r>
      <rPr>
        <sz val="11"/>
        <color rgb="FF000000"/>
        <rFont val="Aptos Narrow"/>
        <scheme val="minor"/>
      </rPr>
      <t>1. Để trống từng field bắt buộc (</t>
    </r>
    <r>
      <rPr>
        <b/>
        <sz val="11"/>
        <color rgb="FF000000"/>
        <rFont val="Aptos Narrow"/>
        <scheme val="minor"/>
      </rPr>
      <t>Tên người dùng/Vai trò/Email/Mật khẩu/Trạng thái</t>
    </r>
    <r>
      <rPr>
        <sz val="11"/>
        <color rgb="FF000000"/>
        <rFont val="Aptos Narrow"/>
        <scheme val="minor"/>
      </rPr>
      <t xml:space="preserve">)2. Bấm </t>
    </r>
    <r>
      <rPr>
        <b/>
        <sz val="11"/>
        <color rgb="FF000000"/>
        <rFont val="Aptos Narrow"/>
        <scheme val="minor"/>
      </rPr>
      <t>Tạo tài khoản mới</t>
    </r>
  </si>
  <si>
    <t>Hiển thị lỗi required tại field tương ứng; không tạo tài khoản</t>
  </si>
  <si>
    <t>Là Admin, tôi muốn validate định dạng Email</t>
  </si>
  <si>
    <t>Verify email invalid</t>
  </si>
  <si>
    <t>1. Nhập Email sai định dạng (vd:</t>
  </si>
  <si>
    <t>Hiển thị lỗi định dạng Email; không tạo</t>
  </si>
  <si>
    <t>Là Admin, tôi muốn không tạo được email trùng</t>
  </si>
  <si>
    <t>Đã tồn tại tài khoản với email X</t>
  </si>
  <si>
    <t>Verify unique email</t>
  </si>
  <si>
    <r>
      <rPr>
        <sz val="11"/>
        <color rgb="FF000000"/>
        <rFont val="Aptos Narrow"/>
        <scheme val="minor"/>
      </rPr>
      <t xml:space="preserve">1. Nhập Email đã tồn tại trong hệ thống2. Bấm </t>
    </r>
    <r>
      <rPr>
        <b/>
        <sz val="11"/>
        <color rgb="FF000000"/>
        <rFont val="Aptos Narrow"/>
        <scheme val="minor"/>
      </rPr>
      <t>Tạo tài khoản mới</t>
    </r>
  </si>
  <si>
    <t>Hệ thống báo trùng Email; không tạo</t>
  </si>
  <si>
    <t>Là Admin, tôi muốn validate mật khẩu theo rule hệ thống</t>
  </si>
  <si>
    <t>Verify password validation</t>
  </si>
  <si>
    <r>
      <rPr>
        <sz val="11"/>
        <color rgb="FF000000"/>
        <rFont val="Aptos Narrow"/>
        <scheme val="minor"/>
      </rPr>
      <t xml:space="preserve">1. Nhập mật khẩu dưới 6 ký tự hoặc trên 20 ký tự 2. Bấm </t>
    </r>
    <r>
      <rPr>
        <b/>
        <sz val="11"/>
        <color rgb="FF000000"/>
        <rFont val="Aptos Narrow"/>
        <scheme val="minor"/>
      </rPr>
      <t>Tạo tài khoản mới</t>
    </r>
  </si>
  <si>
    <t>Hiển thị lỗi mật khẩu không hợp lệ; không tạo</t>
  </si>
  <si>
    <t>Là Admin, tôi muốn nút Bỏ qua quay về danh sách và không lưu</t>
  </si>
  <si>
    <t>Verify “Bỏ qua”</t>
  </si>
  <si>
    <r>
      <t xml:space="preserve">1. Nhập thử dữ liệu2. Bấm </t>
    </r>
    <r>
      <rPr>
        <b/>
        <sz val="11"/>
        <color theme="1"/>
        <rFont val="Aptos Narrow"/>
        <family val="2"/>
        <scheme val="minor"/>
      </rPr>
      <t>Bỏ qua</t>
    </r>
  </si>
  <si>
    <t>Quay về danh sách; không có tài khoản mới được tạo</t>
  </si>
  <si>
    <t>Là Admin, tôi muốn chỉnh sửa thông tin tài khoản</t>
  </si>
  <si>
    <t>Có ít nhất 1 tài khoản</t>
  </si>
  <si>
    <t>Verify mở form chỉnh sửa</t>
  </si>
  <si>
    <r>
      <t xml:space="preserve">1. Tại danh sách, bấm icon </t>
    </r>
    <r>
      <rPr>
        <b/>
        <sz val="11"/>
        <color theme="1"/>
        <rFont val="Aptos Narrow"/>
        <family val="2"/>
        <scheme val="minor"/>
      </rPr>
      <t>Sửa (bút chì)</t>
    </r>
    <r>
      <rPr>
        <sz val="11"/>
        <color theme="1"/>
        <rFont val="Aptos Narrow"/>
        <family val="2"/>
        <scheme val="minor"/>
      </rPr>
      <t xml:space="preserve"> tại 1 dòng</t>
    </r>
  </si>
  <si>
    <t>Mở form chỉnh sửa; dữ liệu được prefill đúng</t>
  </si>
  <si>
    <t>Là Admin, tôi muốn cập nhật Vai trò của tài khoản</t>
  </si>
  <si>
    <t>Đang ở form edit</t>
  </si>
  <si>
    <t>Verify update vai trò</t>
  </si>
  <si>
    <r>
      <t xml:space="preserve">1. Đổi </t>
    </r>
    <r>
      <rPr>
        <b/>
        <sz val="11"/>
        <color theme="1"/>
        <rFont val="Aptos Narrow"/>
        <family val="2"/>
        <scheme val="minor"/>
      </rPr>
      <t>Vai trò</t>
    </r>
    <r>
      <rPr>
        <sz val="11"/>
        <color theme="1"/>
        <rFont val="Aptos Narrow"/>
        <family val="2"/>
        <scheme val="minor"/>
      </rPr>
      <t xml:space="preserve"> sang role khác2. Bấm lưu (nút cam)</t>
    </r>
  </si>
  <si>
    <t>Lưu thành công; về danh sách hiển thị Vai trò mới</t>
  </si>
  <si>
    <t>Là Admin, tôi muốn cập nhật Trạng thái (Đang hoạt động/Không hoạt động)</t>
  </si>
  <si>
    <t>Verify update trạng thái</t>
  </si>
  <si>
    <r>
      <t xml:space="preserve">1. Đổi </t>
    </r>
    <r>
      <rPr>
        <b/>
        <sz val="11"/>
        <color theme="1"/>
        <rFont val="Aptos Narrow"/>
        <family val="2"/>
        <scheme val="minor"/>
      </rPr>
      <t>Trạng thái</t>
    </r>
    <r>
      <rPr>
        <sz val="11"/>
        <color theme="1"/>
        <rFont val="Aptos Narrow"/>
        <family val="2"/>
        <scheme val="minor"/>
      </rPr>
      <t>2. Bấm lưu</t>
    </r>
  </si>
  <si>
    <t>Trạng thái cập nhật đúng và hiển thị đúng trên danh sách</t>
  </si>
  <si>
    <t>Là Admin, tôi muốn sửa email thì phải validate định dạng/unique</t>
  </si>
  <si>
    <t>Hệ thống cho phép sửa email</t>
  </si>
  <si>
    <t>Verify validate email khi edit</t>
  </si>
  <si>
    <t>1. Sửa Email sai format -&gt; lưu2. Sửa Email trùng email user khác -&gt; lưu</t>
  </si>
  <si>
    <t>1. Email sai format: báo lỗi, không lưu2. Email trùng: báo trùng, không lưu</t>
  </si>
  <si>
    <t>Là Admin, tôi muốn hủy chỉnh sửa để không lưu thay đổi</t>
  </si>
  <si>
    <t>Verify cancel/back không lưu</t>
  </si>
  <si>
    <r>
      <t xml:space="preserve">1. Thay đổi dữ liệu2. Bấm </t>
    </r>
    <r>
      <rPr>
        <b/>
        <sz val="11"/>
        <color theme="1"/>
        <rFont val="Aptos Narrow"/>
        <family val="2"/>
        <scheme val="minor"/>
      </rPr>
      <t>Quay lại</t>
    </r>
    <r>
      <rPr>
        <sz val="11"/>
        <color theme="1"/>
        <rFont val="Aptos Narrow"/>
        <family val="2"/>
        <scheme val="minor"/>
      </rPr>
      <t xml:space="preserve"> (hoặc điều hướng về)</t>
    </r>
  </si>
  <si>
    <t>Quay về danh sách; dữ liệu không thay đổi</t>
  </si>
  <si>
    <t>Là Admin, tôi muốn xóa tài khoản chưa phát sinh nghiệp vụ</t>
  </si>
  <si>
    <t>Tài khoản chưa tạo hồ sơ/cấp đơn</t>
  </si>
  <si>
    <r>
      <t xml:space="preserve">1. Chọn tài khoản thỏa điều kiện xóa2. Bấm icon </t>
    </r>
    <r>
      <rPr>
        <b/>
        <sz val="11"/>
        <color theme="1"/>
        <rFont val="Aptos Narrow"/>
        <family val="2"/>
        <scheme val="minor"/>
      </rPr>
      <t>Xóa</t>
    </r>
    <r>
      <rPr>
        <sz val="11"/>
        <color theme="1"/>
        <rFont val="Aptos Narrow"/>
        <family val="2"/>
        <scheme val="minor"/>
      </rPr>
      <t>3. Xác nhận xóa</t>
    </r>
  </si>
  <si>
    <t>1. Xóa thành công, có thông báo (nếu có)2. Bản ghi biến mất khỏi danh sách</t>
  </si>
  <si>
    <t>Là Admin, tôi muốn hủy thao tác xóa khi bấm nhầm</t>
  </si>
  <si>
    <t>Đang mở popup xác nhận</t>
  </si>
  <si>
    <t>Verify cancel xóa</t>
  </si>
  <si>
    <r>
      <t xml:space="preserve">1. Bấm icon </t>
    </r>
    <r>
      <rPr>
        <b/>
        <sz val="11"/>
        <color theme="1"/>
        <rFont val="Aptos Narrow"/>
        <family val="2"/>
        <scheme val="minor"/>
      </rPr>
      <t>Xóa</t>
    </r>
    <r>
      <rPr>
        <sz val="11"/>
        <color theme="1"/>
        <rFont val="Aptos Narrow"/>
        <family val="2"/>
        <scheme val="minor"/>
      </rPr>
      <t xml:space="preserve">2. Bấm </t>
    </r>
    <r>
      <rPr>
        <b/>
        <sz val="11"/>
        <color theme="1"/>
        <rFont val="Aptos Narrow"/>
        <family val="2"/>
        <scheme val="minor"/>
      </rPr>
      <t>Hủy/Đóng</t>
    </r>
  </si>
  <si>
    <t>Không xóa; bản ghi vẫn còn</t>
  </si>
  <si>
    <t>Là Admin, tôi không được phép xóa tài khoản đã tạo hồ sơ</t>
  </si>
  <si>
    <r>
      <t xml:space="preserve">Tài khoản đã </t>
    </r>
    <r>
      <rPr>
        <b/>
        <sz val="11"/>
        <color theme="1"/>
        <rFont val="Aptos Narrow"/>
        <family val="2"/>
        <scheme val="minor"/>
      </rPr>
      <t>tạo hồ sơ</t>
    </r>
  </si>
  <si>
    <t>Verify chặn xóa theo rule</t>
  </si>
  <si>
    <r>
      <t xml:space="preserve">1. Chọn user đã tạo hồ sơ2. Bấm </t>
    </r>
    <r>
      <rPr>
        <b/>
        <sz val="11"/>
        <color theme="1"/>
        <rFont val="Aptos Narrow"/>
        <family val="2"/>
        <scheme val="minor"/>
      </rPr>
      <t>Xóa</t>
    </r>
  </si>
  <si>
    <r>
      <t xml:space="preserve">Hệ thống </t>
    </r>
    <r>
      <rPr>
        <b/>
        <sz val="11"/>
        <color theme="1"/>
        <rFont val="Aptos Narrow"/>
        <family val="2"/>
        <scheme val="minor"/>
      </rPr>
      <t>không cho xóa</t>
    </r>
    <r>
      <rPr>
        <sz val="11"/>
        <color theme="1"/>
        <rFont val="Aptos Narrow"/>
        <family val="2"/>
        <scheme val="minor"/>
      </rPr>
      <t>: - hoặc Ẩn/disable icon xóa- hoặc hiện message “Không thể xóa do đã tạo hồ sơ”</t>
    </r>
  </si>
  <si>
    <t>Là Admin, khi xóa account đã từng login thì user đó reload sẽ bị logout</t>
  </si>
  <si>
    <t>Xóa + Session</t>
  </si>
  <si>
    <t>User X đã login trước đó (có “Đăng nhập lần cuối”), đang có session/đang mở trình duyệt của X</t>
  </si>
  <si>
    <t>Verify rule logout sau khi bị xóa</t>
  </si>
  <si>
    <r>
      <t xml:space="preserve">1. Trên trình duyệt 1: đăng nhập bằng user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(đảm bảo đang login)2. Trên trình duyệt 2 (Admin): vào Quản lý tài khoản, xóa user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(thỏa điều kiện cho phép xóa)3. Quay lại trình duyệt user X, bấm </t>
    </r>
    <r>
      <rPr>
        <b/>
        <sz val="11"/>
        <color theme="1"/>
        <rFont val="Aptos Narrow"/>
        <family val="2"/>
        <scheme val="minor"/>
      </rPr>
      <t>Reload</t>
    </r>
    <r>
      <rPr>
        <sz val="11"/>
        <color theme="1"/>
        <rFont val="Aptos Narrow"/>
        <family val="2"/>
        <scheme val="minor"/>
      </rPr>
      <t xml:space="preserve"> trang</t>
    </r>
  </si>
  <si>
    <r>
      <t xml:space="preserve">User X bị </t>
    </r>
    <r>
      <rPr>
        <b/>
        <sz val="11"/>
        <color theme="1"/>
        <rFont val="Aptos Narrow"/>
        <family val="2"/>
        <scheme val="minor"/>
      </rPr>
      <t>logout</t>
    </r>
    <r>
      <rPr>
        <sz val="11"/>
        <color theme="1"/>
        <rFont val="Aptos Narrow"/>
        <family val="2"/>
        <scheme val="minor"/>
      </rPr>
      <t xml:space="preserve"> và bị điều hướng về màn hình login (hoặc nhận thông báo session invalid)</t>
    </r>
  </si>
  <si>
    <t>Là Admin, tôi muốn kiểm tra hiển thị “Chưa đăng nhập”</t>
  </si>
  <si>
    <t>Có user chưa từng login</t>
  </si>
  <si>
    <t>Verify cột Đăng nhập lần cuối</t>
  </si>
  <si>
    <t>1. Mở danh sách</t>
  </si>
  <si>
    <t>User chưa login hiển thị “Chưa đăng nhập” đúng format</t>
  </si>
  <si>
    <t>Là Admin, tôi muốn kiểm tra format ngày/giờ hiển thị</t>
  </si>
  <si>
    <t>Có dữ liệu ngày tạo/đăng nhập</t>
  </si>
  <si>
    <t>Verify format datetime</t>
  </si>
  <si>
    <r>
      <t xml:space="preserve">1. Mở danh sách2. So sánh format cột </t>
    </r>
    <r>
      <rPr>
        <b/>
        <sz val="11"/>
        <color theme="1"/>
        <rFont val="Aptos Narrow"/>
        <family val="2"/>
        <scheme val="minor"/>
      </rPr>
      <t>Ngày tạo</t>
    </r>
    <r>
      <rPr>
        <sz val="11"/>
        <color theme="1"/>
        <rFont val="Aptos Narrow"/>
        <family val="2"/>
        <scheme val="minor"/>
      </rPr>
      <t xml:space="preserve"> và </t>
    </r>
    <r>
      <rPr>
        <b/>
        <sz val="11"/>
        <color theme="1"/>
        <rFont val="Aptos Narrow"/>
        <family val="2"/>
        <scheme val="minor"/>
      </rPr>
      <t>Đăng nhập lần cuối</t>
    </r>
  </si>
  <si>
    <t>Hiển thị đúng định dạng (vd: HH:mm dd/MM/yyyy như trên UI) và nhất quán</t>
  </si>
  <si>
    <t xml:space="preserve">Cài đặt chế độ bảo trì </t>
  </si>
  <si>
    <t>Là Admin, tôi muốn xem danh sách tác vụ tự động để theo dõi trạng thái chạy của các tác vụ</t>
  </si>
  <si>
    <t>Cài đặt</t>
  </si>
  <si>
    <t>Kiểm tra Admin xem được danh sách tác vụ tự động</t>
  </si>
  <si>
    <t>1. Đăng nhập bằng tài khoản Admin 2. Chọn Danh sách tác vụ tự động</t>
  </si>
  <si>
    <t>Hệ thống hiển thị danh sách các tác vụ tự động đang chạy</t>
  </si>
  <si>
    <t>Là Admin, tôi muốn bật một tác vụ tự động để hệ thống tự chạy theo lịch</t>
  </si>
  <si>
    <t>Bật tác vụ</t>
  </si>
  <si>
    <t>Admin đã đăng nhập và đang ở trang Danh sách tác vụ</t>
  </si>
  <si>
    <t>Kiểm tra bật tác vụ tự động</t>
  </si>
  <si>
    <t>1. Vào Danh sách tác vụ tự động 2. Gạt công tắc từ Tắt sang Bật</t>
  </si>
  <si>
    <t>Hệ thống chuyển tác vụ sang trạng thái Bật; Tác vụ bắt đầu chạy theo lịch định sẵn</t>
  </si>
  <si>
    <t>Là Admin, tôi muốn tắt một tác vụ tự động để tác vụ dừng chạy</t>
  </si>
  <si>
    <t>Tắt tác vụ</t>
  </si>
  <si>
    <t>Admin đã đăng nhập và có tác vụ đang bật</t>
  </si>
  <si>
    <t>Kiểm tra tắt tác vụ tự động</t>
  </si>
  <si>
    <t>1. Vào Danh sách tác vụ tự động 2. Gạt công tắc từ Bật sang Tắt</t>
  </si>
  <si>
    <t>Hệ thống chuyển tác vụ về trạng thái Tắt; Tác vụ ngừng hoạt động theo lịch</t>
  </si>
  <si>
    <t>Là Admin, tôi muốn bật chế độ bảo trì để tạm dừng toàn bộ hệ thống</t>
  </si>
  <si>
    <t>Bật chế độ bảo trì</t>
  </si>
  <si>
    <t>Admin đã đăng nhập và ở trang danh sách tác vụ</t>
  </si>
  <si>
    <t>Kiểm tra bật chế độ bảo trì</t>
  </si>
  <si>
    <t>1. Gạt công tắc chế độ bảo trì sang Bật</t>
  </si>
  <si>
    <t>Hệ thống bật chế độ bảo trì; Hiển thị thông báo bảo trì; Chặn Admin sử dụng hệ thống nếu bảo trì bật</t>
  </si>
  <si>
    <t>Là Admin, tôi muốn tắt chế độ bảo trì để hệ thống hoạt động lại bình thường</t>
  </si>
  <si>
    <t>Tắt chế độ bảo trì</t>
  </si>
  <si>
    <t>Chế độ bảo trì đang bật</t>
  </si>
  <si>
    <t>Kiểm tra tắt chế độ bảo trì</t>
  </si>
  <si>
    <t>1. Gạt công tắc chế độ bảo trì sang Tắt</t>
  </si>
  <si>
    <t>Hệ thống tắt chế độ bảo trì; Cho phép Admin sử dụng hệ thống bình thường</t>
  </si>
  <si>
    <t>Là Admin, tôi muốn chạy thủ công một tác vụ khi cần xử lý ngay</t>
  </si>
  <si>
    <t>Chạy thủ công</t>
  </si>
  <si>
    <t>Admin đã đăng nhập và đang ở trang danh sách tác vụ</t>
  </si>
  <si>
    <t>Kiểm tra chạy thủ công tác vụ tự động</t>
  </si>
  <si>
    <t>1. Chọn tác vụ cần chạy 2. Nhấn nút Chạy thủ công</t>
  </si>
  <si>
    <t>Hệ thống thực thi ngay tác vụ; Hiển thị trạng thái chạy hoặc kết quả chạy tác vụ</t>
  </si>
  <si>
    <t>Là Admin, tôi muốn nhận thông báo lỗi nếu chạy tác vụ thủ công thất bại</t>
  </si>
  <si>
    <t>Backend trả lỗi khi chạy thủ công</t>
  </si>
  <si>
    <t>Kiểm tra xử lý lỗi khi chạy thủ công</t>
  </si>
  <si>
    <t>1. Nhấn Chạy thủ công 2. Backend trả lỗi</t>
  </si>
  <si>
    <t>Hệ thống hiển thị thông báo lỗi; Không cập nhật thời gian chạy mới</t>
  </si>
  <si>
    <t>Là Admin, tôi muốn nhận thông báo lỗi nếu bật hoặc tắt tác vụ thất bại</t>
  </si>
  <si>
    <t>Bật/Tắt tác vụ</t>
  </si>
  <si>
    <t>Backend gặp lỗi khi đổi trạng thái</t>
  </si>
  <si>
    <t>Kiểm tra xử lý lỗi bật/tắt tác vụ</t>
  </si>
  <si>
    <t>1. Gạt công tắc Bật/Tắt 2. Backend trả lỗi</t>
  </si>
  <si>
    <t>Hệ thống hiển thị thông báo lỗi; Giữ nguyên trạng thái tác vụ ban đầu</t>
  </si>
  <si>
    <t>Là Claim Officer, tôi muốn xem danh sách các thông báo tự động để quản lý</t>
  </si>
  <si>
    <t>Xem danh sách thông báo</t>
  </si>
  <si>
    <t>Claim Officer đã đăng nhập vào hệ thống</t>
  </si>
  <si>
    <t>Kiểm tra hiển thị danh sách thông báo tự động</t>
  </si>
  <si>
    <t>1. Đăng nhập bằng tài khoản Claim Officer 2. Chọn menu Cài đặt thông báo</t>
  </si>
  <si>
    <t>Hệ thống hiển thị danh sách các thông báo tự động; Hiển thị đầy đủ các cột theo thiết kế (Tên thông báo, Trạng thái, Mô tả, Người nhận,…)</t>
  </si>
  <si>
    <t>Là Claim Officer, tôi muốn bật một thông báo đang bị tắt</t>
  </si>
  <si>
    <t>Bật thông báo</t>
  </si>
  <si>
    <t>Claim Officer đã đăng nhập và đang ở màn hình Cài đặt thông báo</t>
  </si>
  <si>
    <t>Kiểm tra bật thông báo thành công</t>
  </si>
  <si>
    <t>1. Vào Cài đặt thông báo 2. Tìm thông báo có trạng thái Tắt 3. Gạt công tắc Bật/Tắt sang Bật</t>
  </si>
  <si>
    <t>Hệ thống cập nhật trạng thái thông báo sang Bật; Hiển thị trạng thái mới trên giao diện</t>
  </si>
  <si>
    <t>Là Claim Officer, tôi muốn tắt thông báo đang hoạt động</t>
  </si>
  <si>
    <t>Tắt thông báo</t>
  </si>
  <si>
    <t>Claim Officer đã đăng nhập và đang ở màn hình danh sách thông báo</t>
  </si>
  <si>
    <t>Kiểm tra tắt thông báo thành công</t>
  </si>
  <si>
    <t>1. Vào Cài đặt thông báo 2. Tìm thông báo đang ở trạng thái Bật 3. Gạt công tắc Bật/Tắt sang Tắt</t>
  </si>
  <si>
    <t>Hệ thống cập nhật trạng thái thông báo sang Tắt; Thông báo sẽ không còn hoạt động</t>
  </si>
  <si>
    <t>Là Claim Officer, tôi muốn nhận thông báo lỗi nếu bật/tắt thông báo thất bại do lỗi hệ thống</t>
  </si>
  <si>
    <t>Bật/Tắt thông báo</t>
  </si>
  <si>
    <t>Backend trả lỗi khi cập nhật trạng thái thông báo</t>
  </si>
  <si>
    <t>Kiểm tra xử lý lỗi khi bật/tắt thông báo</t>
  </si>
  <si>
    <t>1. Gạt công tắc Bật/Tắt thông báo 2. Backend trả lỗi (giả lập)</t>
  </si>
  <si>
    <t>Hệ thống hiển thị thông báo lỗi; Trạng thái thông báo không thay đổi</t>
  </si>
  <si>
    <t>Là Underwriter, tôi muốn xem danh sách thông báo tự động để phục vụ việc thẩm định</t>
  </si>
  <si>
    <t>Underwriter đã đăng nhập</t>
  </si>
  <si>
    <t>Kiểm tra Underwriter xem được danh sách thông báo</t>
  </si>
  <si>
    <t>1. Đăng nhập Underwriter 2. Chọn menu Cài đặt thông báo</t>
  </si>
  <si>
    <t>Hệ thống hiển thị danh sách các thông báo tự động đang chạy</t>
  </si>
  <si>
    <t>Là Underwriter, tôi muốn bật thông báo tự động để nhận cảnh báo cần thiết</t>
  </si>
  <si>
    <t>Underwriter đã đăng nhập và danh sách thông báo khả dụng</t>
  </si>
  <si>
    <t>1. Vào Cài đặt thông báo 2. Gạt công tắc Bật/Tắt của thông báo cần bật</t>
  </si>
  <si>
    <t>Hệ thống bật thông báo thành công; Hiển thị trạng thái là Bật</t>
  </si>
  <si>
    <t>Là Underwriter, tôi muốn tắt thông báo tự động không cần thiết</t>
  </si>
  <si>
    <t>Underwriter đã đăng nhập và thông báo đang bật</t>
  </si>
  <si>
    <t>1. Chọn thông báo 2. Gạt công tắc sang Tắt</t>
  </si>
  <si>
    <t>Hệ thống tắt thông báo; Không gửi thông báo nữa</t>
  </si>
  <si>
    <t>Là Underwriter, tôi muốn nhận thông báo nếu bật/tắt thông báo bị lỗi</t>
  </si>
  <si>
    <t>Backend trả lỗi khi cập nhật trạng thái</t>
  </si>
  <si>
    <t>Kiểm tra xử lý lỗi backend</t>
  </si>
  <si>
    <t>1. Gạt công tắc bật/tắt thông báo 2. Backend trả lỗi (giả lập)</t>
  </si>
  <si>
    <t>Hệ thống hiển thị thông báo lỗi; Trạng thái hiển thị không thay đổi</t>
  </si>
  <si>
    <t>Quản lý HĐBH (B1)</t>
  </si>
  <si>
    <t>Là Underwriter, tôi muốn truy cập chức năng Tạo hồ sơ bảo hiểm để bắt đầu quy trình cấp đơn</t>
  </si>
  <si>
    <t>Cấp đơn</t>
  </si>
  <si>
    <t>Truy cập tạo hồ sơ</t>
  </si>
  <si>
    <t>Đã đăng nhập hệ thống với role Underwriter</t>
  </si>
  <si>
    <t>Kiểm tra truy cập Bước 1 từ menu</t>
  </si>
  <si>
    <r>
      <rPr>
        <sz val="11"/>
        <color rgb="FF000000"/>
        <rFont val="Aptos Narrow"/>
        <scheme val="minor"/>
      </rPr>
      <t xml:space="preserve">1. Đăng nhập hệ thống
2. Chọn menu </t>
    </r>
    <r>
      <rPr>
        <b/>
        <sz val="11"/>
        <color rgb="FF000000"/>
        <rFont val="Aptos Narrow"/>
        <scheme val="minor"/>
      </rPr>
      <t xml:space="preserve">Cấp đơn
</t>
    </r>
    <r>
      <rPr>
        <sz val="11"/>
        <color rgb="FF000000"/>
        <rFont val="Aptos Narrow"/>
        <scheme val="minor"/>
      </rPr>
      <t xml:space="preserve">3. Chọn </t>
    </r>
    <r>
      <rPr>
        <b/>
        <sz val="11"/>
        <color rgb="FF000000"/>
        <rFont val="Aptos Narrow"/>
        <scheme val="minor"/>
      </rPr>
      <t>Tạo hồ sơ bảo hiểm</t>
    </r>
  </si>
  <si>
    <r>
      <t xml:space="preserve">Hệ thống hiển thị màn hình </t>
    </r>
    <r>
      <rPr>
        <b/>
        <sz val="11"/>
        <color theme="1"/>
        <rFont val="Aptos Narrow"/>
        <family val="2"/>
        <scheme val="minor"/>
      </rPr>
      <t>Tạo hồ sơ bảo hiểm – Bước 1: Thông tin cơ bản</t>
    </r>
  </si>
  <si>
    <t>Là Underwriter, tôi muốn chọn Loại hình bảo hiểm để xác định phạm vi bảo hiểm</t>
  </si>
  <si>
    <t>Chọn loại hình bảo hiểm</t>
  </si>
  <si>
    <t>Đang ở màn hình Bước 1</t>
  </si>
  <si>
    <t>Kiểm tra chọn Loại hình bảo hiểm</t>
  </si>
  <si>
    <r>
      <rPr>
        <sz val="11"/>
        <color rgb="FF000000"/>
        <rFont val="Aptos Narrow"/>
        <scheme val="minor"/>
      </rPr>
      <t xml:space="preserve">1. Nhấn dropdown </t>
    </r>
    <r>
      <rPr>
        <b/>
        <sz val="11"/>
        <color rgb="FF000000"/>
        <rFont val="Aptos Narrow"/>
        <scheme val="minor"/>
      </rPr>
      <t xml:space="preserve">Loại hình bảo hiểm
</t>
    </r>
    <r>
      <rPr>
        <sz val="11"/>
        <color rgb="FF000000"/>
        <rFont val="Aptos Narrow"/>
        <scheme val="minor"/>
      </rPr>
      <t>2. Chọn một loại hình trong danh sách</t>
    </r>
  </si>
  <si>
    <t>Hệ thống ghi nhận loại hình bảo hiểm đã chọn</t>
  </si>
  <si>
    <t>Là Underwriter, tôi không thể tiếp tục nếu chưa chọn Loại hình bảo hiểm</t>
  </si>
  <si>
    <t>Validation bắt buộc</t>
  </si>
  <si>
    <t>Kiểm tra validation Loại hình bảo hiểm</t>
  </si>
  <si>
    <r>
      <rPr>
        <sz val="11"/>
        <color rgb="FF000000"/>
        <rFont val="Aptos Narrow"/>
        <scheme val="minor"/>
      </rPr>
      <t xml:space="preserve">1. Không chọn Loại hình bảo hiểm
2. Nhấn </t>
    </r>
    <r>
      <rPr>
        <b/>
        <sz val="11"/>
        <color rgb="FF000000"/>
        <rFont val="Aptos Narrow"/>
        <scheme val="minor"/>
      </rPr>
      <t>Tiếp theo</t>
    </r>
  </si>
  <si>
    <r>
      <t xml:space="preserve">Hệ thống hiển thị lỗi bắt buộc tại trường </t>
    </r>
    <r>
      <rPr>
        <b/>
        <sz val="11"/>
        <color theme="1"/>
        <rFont val="Aptos Narrow"/>
        <family val="2"/>
        <scheme val="minor"/>
      </rPr>
      <t>Loại hình bảo hiểm</t>
    </r>
  </si>
  <si>
    <t>Là Underwriter, tôi muốn chọn Địa điểm áp dụng cho hồ sơ bảo hiểm</t>
  </si>
  <si>
    <t>Chọn địa điểm</t>
  </si>
  <si>
    <t>Kiểm tra chọn Địa điểm</t>
  </si>
  <si>
    <r>
      <rPr>
        <sz val="11"/>
        <color rgb="FF000000"/>
        <rFont val="Aptos Narrow"/>
        <scheme val="minor"/>
      </rPr>
      <t xml:space="preserve">1. Nhấn dropdown </t>
    </r>
    <r>
      <rPr>
        <b/>
        <sz val="11"/>
        <color rgb="FF000000"/>
        <rFont val="Aptos Narrow"/>
        <scheme val="minor"/>
      </rPr>
      <t xml:space="preserve">Địa điểm
</t>
    </r>
    <r>
      <rPr>
        <sz val="11"/>
        <color rgb="FF000000"/>
        <rFont val="Aptos Narrow"/>
        <scheme val="minor"/>
      </rPr>
      <t>2. Chọn một địa điểm</t>
    </r>
  </si>
  <si>
    <t>Hệ thống ghi nhận địa điểm đã chọn</t>
  </si>
  <si>
    <t>Là Underwriter, tôi muốn tạo mới Địa điểm nếu không tìm thấy trong danh sách</t>
  </si>
  <si>
    <t>Tạo mới địa điểm</t>
  </si>
  <si>
    <t>Không có địa điểm phù hợp trong danh sách</t>
  </si>
  <si>
    <t>Kiểm tra tạo mới Địa điểm</t>
  </si>
  <si>
    <r>
      <rPr>
        <sz val="11"/>
        <color rgb="FF000000"/>
        <rFont val="Aptos Narrow"/>
        <scheme val="minor"/>
      </rPr>
      <t xml:space="preserve">1. Nhập từ khóa tìm địa điểm
2. Không có kết quả
3. Nhấn </t>
    </r>
    <r>
      <rPr>
        <b/>
        <sz val="11"/>
        <color rgb="FF000000"/>
        <rFont val="Aptos Narrow"/>
        <scheme val="minor"/>
      </rPr>
      <t>Tạo mới</t>
    </r>
  </si>
  <si>
    <t>Hệ thống mở màn hình tạo mới Địa điểm</t>
  </si>
  <si>
    <t>Là Underwriter, tôi muốn chọn Loại hợp đồng phù hợp</t>
  </si>
  <si>
    <t>Chọn loại hợp đồng</t>
  </si>
  <si>
    <t>Kiểm tra chọn loại hợp đồng</t>
  </si>
  <si>
    <r>
      <t xml:space="preserve">1. Chọn </t>
    </r>
    <r>
      <rPr>
        <b/>
        <sz val="11"/>
        <color theme="1"/>
        <rFont val="Aptos Narrow"/>
        <family val="2"/>
        <scheme val="minor"/>
      </rPr>
      <t>Cấp mới / Tái tục / Phụ lục</t>
    </r>
  </si>
  <si>
    <t>Hệ thống ghi nhận đúng loại hợp đồng đã chọn</t>
  </si>
  <si>
    <t>Là Underwriter, tôi muốn nhập Người được bảo hiểm cho hồ sơ</t>
  </si>
  <si>
    <t>Nhập Người được bảo hiểm</t>
  </si>
  <si>
    <t>Kiểm tra nhập Người được bảo hiểm</t>
  </si>
  <si>
    <r>
      <t xml:space="preserve">1. Nhập tên Công ty/Pháp nhân vào ô </t>
    </r>
    <r>
      <rPr>
        <b/>
        <sz val="11"/>
        <color theme="1"/>
        <rFont val="Aptos Narrow"/>
        <family val="2"/>
        <scheme val="minor"/>
      </rPr>
      <t>Người được bảo hiểm</t>
    </r>
  </si>
  <si>
    <t>Hệ thống ghi nhận giá trị đã nhập</t>
  </si>
  <si>
    <t>Là Underwriter, tôi muốn tạo mới Người được bảo hiểm nếu chưa tồn tại</t>
  </si>
  <si>
    <t>Tạo mới NĐBH</t>
  </si>
  <si>
    <t>Người được bảo hiểm chưa tồn tại</t>
  </si>
  <si>
    <t>Kiểm tra tạo mới Người được bảo hiểm</t>
  </si>
  <si>
    <r>
      <rPr>
        <sz val="11"/>
        <color rgb="FF000000"/>
        <rFont val="Aptos Narrow"/>
        <scheme val="minor"/>
      </rPr>
      <t xml:space="preserve">1. Nhập tên NĐBH không tồn tại
2. Chọn </t>
    </r>
    <r>
      <rPr>
        <b/>
        <sz val="11"/>
        <color rgb="FF000000"/>
        <rFont val="Aptos Narrow"/>
        <scheme val="minor"/>
      </rPr>
      <t>Tạo mới</t>
    </r>
  </si>
  <si>
    <t>Hệ thống mở màn hình tạo mới Người được bảo hiểm</t>
  </si>
  <si>
    <t>Là Underwriter, tôi muốn sử dụng nội dung mặc định cho Thông tin bổ sung NĐBH</t>
  </si>
  <si>
    <t>Hiển thị mặc định</t>
  </si>
  <si>
    <t>Kiểm tra nội dung mặc định</t>
  </si>
  <si>
    <r>
      <t xml:space="preserve">1. Quan sát trường </t>
    </r>
    <r>
      <rPr>
        <b/>
        <sz val="11"/>
        <color theme="1"/>
        <rFont val="Aptos Narrow"/>
        <family val="2"/>
        <scheme val="minor"/>
      </rPr>
      <t>Thông tin bổ sung</t>
    </r>
  </si>
  <si>
    <t>Hiển thị đúng nội dung mặc định theo thiết kế</t>
  </si>
  <si>
    <t>Là Underwriter, tôi muốn nhập Ngành nghề kinh doanh để mô tả hoạt động của NĐBH</t>
  </si>
  <si>
    <t>Nhập ngành nghề</t>
  </si>
  <si>
    <t>Kiểm tra nhập Ngành nghề kinh doanh</t>
  </si>
  <si>
    <r>
      <t xml:space="preserve">1. Nhập nội dung vào ô </t>
    </r>
    <r>
      <rPr>
        <b/>
        <sz val="11"/>
        <color theme="1"/>
        <rFont val="Aptos Narrow"/>
        <family val="2"/>
        <scheme val="minor"/>
      </rPr>
      <t>Ngành nghề kinh doanh</t>
    </r>
  </si>
  <si>
    <t>Hệ thống ghi nhận nội dung; Không báo lỗi</t>
  </si>
  <si>
    <t>Là Underwriter, tôi không thể tiếp tục nếu chưa nhập Ngành nghề kinh doanh</t>
  </si>
  <si>
    <t>Kiểm tra validation ngành nghề</t>
  </si>
  <si>
    <r>
      <rPr>
        <sz val="11"/>
        <color rgb="FF000000"/>
        <rFont val="Aptos Narrow"/>
        <scheme val="minor"/>
      </rPr>
      <t xml:space="preserve">1. Để trống </t>
    </r>
    <r>
      <rPr>
        <b/>
        <sz val="11"/>
        <color rgb="FF000000"/>
        <rFont val="Aptos Narrow"/>
        <scheme val="minor"/>
      </rPr>
      <t xml:space="preserve">Ngành nghề kinh doanh
</t>
    </r>
    <r>
      <rPr>
        <sz val="11"/>
        <color rgb="FF000000"/>
        <rFont val="Aptos Narrow"/>
        <scheme val="minor"/>
      </rPr>
      <t xml:space="preserve">2. Nhấn </t>
    </r>
    <r>
      <rPr>
        <b/>
        <sz val="11"/>
        <color rgb="FF000000"/>
        <rFont val="Aptos Narrow"/>
        <scheme val="minor"/>
      </rPr>
      <t>Tiếp theo</t>
    </r>
  </si>
  <si>
    <t>Hệ thống hiển thị lỗi bắt buộc</t>
  </si>
  <si>
    <t>Là Underwriter, tôi muốn chọn Thời hạn bảo hiểm để xác định hiệu lực</t>
  </si>
  <si>
    <t>Chọn thời hạn</t>
  </si>
  <si>
    <t>Kiểm tra chọn Ngày bắt đầu – Ngày kết thúc</t>
  </si>
  <si>
    <r>
      <rPr>
        <sz val="11"/>
        <color rgb="FF000000"/>
        <rFont val="Aptos Narrow"/>
        <scheme val="minor"/>
      </rPr>
      <t xml:space="preserve">1. Chọn </t>
    </r>
    <r>
      <rPr>
        <b/>
        <sz val="11"/>
        <color rgb="FF000000"/>
        <rFont val="Aptos Narrow"/>
        <scheme val="minor"/>
      </rPr>
      <t xml:space="preserve">Ngày bắt đầu
</t>
    </r>
    <r>
      <rPr>
        <sz val="11"/>
        <color rgb="FF000000"/>
        <rFont val="Aptos Narrow"/>
        <scheme val="minor"/>
      </rPr>
      <t xml:space="preserve">2. Chọn </t>
    </r>
    <r>
      <rPr>
        <b/>
        <sz val="11"/>
        <color rgb="FF000000"/>
        <rFont val="Aptos Narrow"/>
        <scheme val="minor"/>
      </rPr>
      <t>Ngày kết thúc</t>
    </r>
  </si>
  <si>
    <t>Hệ thống ghi nhận thời hạn bảo hiểm hợp lệ</t>
  </si>
  <si>
    <t>Là Underwriter, tôi không thể chọn Ngày kết thúc nhỏ hơn Ngày bắt đầu</t>
  </si>
  <si>
    <t>Validation ngày</t>
  </si>
  <si>
    <t>Kiểm tra validation thời gian</t>
  </si>
  <si>
    <r>
      <rPr>
        <sz val="11"/>
        <color rgb="FF000000"/>
        <rFont val="Aptos Narrow"/>
        <scheme val="minor"/>
      </rPr>
      <t xml:space="preserve">1. Chọn Ngày kết thúc &lt; Ngày bắt đầu
2. Nhấn </t>
    </r>
    <r>
      <rPr>
        <b/>
        <sz val="11"/>
        <color rgb="FF000000"/>
        <rFont val="Aptos Narrow"/>
        <scheme val="minor"/>
      </rPr>
      <t>Tiếp theo</t>
    </r>
  </si>
  <si>
    <t>Hệ thống hiển thị lỗi ngày không hợp lệ</t>
  </si>
  <si>
    <t>Là Underwriter, tôi muốn nhập Ghi chú nếu cần</t>
  </si>
  <si>
    <t>Nhập ghi chú</t>
  </si>
  <si>
    <t>Kiểm tra nhập ghi chú</t>
  </si>
  <si>
    <r>
      <t xml:space="preserve">1. Nhập nội dung vào ô </t>
    </r>
    <r>
      <rPr>
        <b/>
        <sz val="11"/>
        <color theme="1"/>
        <rFont val="Aptos Narrow"/>
        <family val="2"/>
        <scheme val="minor"/>
      </rPr>
      <t>Ghi chú</t>
    </r>
  </si>
  <si>
    <t>Hệ thống lưu nội dung ghi chú</t>
  </si>
  <si>
    <t>Là Underwriter, tôi muốn tải lên tệp đính kèm liên quan</t>
  </si>
  <si>
    <t>Upload file</t>
  </si>
  <si>
    <t>Kiểm tra upload tệp</t>
  </si>
  <si>
    <r>
      <rPr>
        <sz val="11"/>
        <color rgb="FF000000"/>
        <rFont val="Aptos Narrow"/>
        <scheme val="minor"/>
      </rPr>
      <t xml:space="preserve">1. Nhấn </t>
    </r>
    <r>
      <rPr>
        <b/>
        <sz val="11"/>
        <color rgb="FF000000"/>
        <rFont val="Aptos Narrow"/>
        <scheme val="minor"/>
      </rPr>
      <t xml:space="preserve">Tải tệp
</t>
    </r>
    <r>
      <rPr>
        <sz val="11"/>
        <color rgb="FF000000"/>
        <rFont val="Aptos Narrow"/>
        <scheme val="minor"/>
      </rPr>
      <t>2. Chọn file hợp lệ</t>
    </r>
  </si>
  <si>
    <t>File được tải lên thành công</t>
  </si>
  <si>
    <t>Là Underwriter, tôi muốn chuyển sang Bước 2 sau khi nhập hợp lệ</t>
  </si>
  <si>
    <t>Chuyển bước</t>
  </si>
  <si>
    <t>Tất cả trường bắt buộc hợp lệ</t>
  </si>
  <si>
    <t>Kiểm tra chuyển bước</t>
  </si>
  <si>
    <r>
      <rPr>
        <sz val="11"/>
        <color rgb="FF000000"/>
        <rFont val="Aptos Narrow"/>
        <scheme val="minor"/>
      </rPr>
      <t xml:space="preserve">1. Nhập đầy đủ thông tin hợp lệ
2. Nhấn </t>
    </r>
    <r>
      <rPr>
        <b/>
        <sz val="11"/>
        <color rgb="FF000000"/>
        <rFont val="Aptos Narrow"/>
        <scheme val="minor"/>
      </rPr>
      <t>Tiếp theo</t>
    </r>
  </si>
  <si>
    <r>
      <t xml:space="preserve">Hệ thống chuyển sang </t>
    </r>
    <r>
      <rPr>
        <b/>
        <sz val="11"/>
        <color theme="1"/>
        <rFont val="Aptos Narrow"/>
        <family val="2"/>
        <scheme val="minor"/>
      </rPr>
      <t>Bước 2 – Điều khoản bổ sung</t>
    </r>
  </si>
  <si>
    <t>Quản lý HĐBH (B2)</t>
  </si>
  <si>
    <t>Là Underwriter, tôi muốn truy cập Bước 2 để cấu hình điều khoản bổ sung</t>
  </si>
  <si>
    <t>Tạo hồ sơ BH</t>
  </si>
  <si>
    <t>Truy cập bước</t>
  </si>
  <si>
    <t>Đã hoàn thành Bước 1 hợp lệ</t>
  </si>
  <si>
    <t>Kiểm tra điều hướng sang Bước 2</t>
  </si>
  <si>
    <r>
      <rPr>
        <sz val="11"/>
        <color rgb="FF000000"/>
        <rFont val="Aptos Narrow"/>
        <scheme val="minor"/>
      </rPr>
      <t xml:space="preserve">1. Ở Bước 1 nhập đầy đủ thông tin
2. Nhấn </t>
    </r>
    <r>
      <rPr>
        <b/>
        <sz val="11"/>
        <color rgb="FF000000"/>
        <rFont val="Aptos Narrow"/>
        <scheme val="minor"/>
      </rPr>
      <t>Tiếp theo</t>
    </r>
  </si>
  <si>
    <r>
      <t xml:space="preserve">Hệ thống chuyển sang Bước 2 và hiển thị tiêu đề </t>
    </r>
    <r>
      <rPr>
        <b/>
        <sz val="11"/>
        <color theme="1"/>
        <rFont val="Aptos Narrow"/>
        <family val="2"/>
        <scheme val="minor"/>
      </rPr>
      <t>Điều khoản bổ sung</t>
    </r>
  </si>
  <si>
    <t>Là Underwriter, tôi muốn chọn bộ điều khoản bổ sung từ danh sách</t>
  </si>
  <si>
    <t>Chọn bộ điều khoản</t>
  </si>
  <si>
    <t>Loại hình BH cho phép chọn điều khoản</t>
  </si>
  <si>
    <t>Kiểm tra chọn bộ điều khoản</t>
  </si>
  <si>
    <r>
      <rPr>
        <sz val="11"/>
        <color rgb="FF000000"/>
        <rFont val="Aptos Narrow"/>
        <scheme val="minor"/>
      </rPr>
      <t xml:space="preserve">1. Nhấn dropdown </t>
    </r>
    <r>
      <rPr>
        <b/>
        <sz val="11"/>
        <color rgb="FF000000"/>
        <rFont val="Aptos Narrow"/>
        <scheme val="minor"/>
      </rPr>
      <t xml:space="preserve">Bộ điều khoản bổ sung
</t>
    </r>
    <r>
      <rPr>
        <sz val="11"/>
        <color rgb="FF000000"/>
        <rFont val="Aptos Narrow"/>
        <scheme val="minor"/>
      </rPr>
      <t>2. Chọn một bộ điều khoản</t>
    </r>
  </si>
  <si>
    <t>Danh sách điều khoản tương ứng được hiển thị bên dưới</t>
  </si>
  <si>
    <t>Là Underwriter, tôi muốn hệ thống auto-fill điều khoản từ hợp đồng cũ</t>
  </si>
  <si>
    <t>Auto-fill</t>
  </si>
  <si>
    <t>Có hợp đồng năm trước phù hợp</t>
  </si>
  <si>
    <t>Kiểm tra tự động điền</t>
  </si>
  <si>
    <t>1. Chọn bộ điều khoản
2. Quan sát danh sách điều khoản</t>
  </si>
  <si>
    <t>Điều khoản được auto-fill đúng theo hợp đồng cũ</t>
  </si>
  <si>
    <t>Là Underwriter, tôi muốn chỉnh sửa chi tiết từng điều khoản</t>
  </si>
  <si>
    <t>Nhập chi tiết</t>
  </si>
  <si>
    <t>Đã có danh sách điều khoản</t>
  </si>
  <si>
    <t>Kiểm tra nhập chi tiết</t>
  </si>
  <si>
    <r>
      <rPr>
        <sz val="11"/>
        <color rgb="FF000000"/>
        <rFont val="Aptos Narrow"/>
        <scheme val="minor"/>
      </rPr>
      <t xml:space="preserve">1. Nhập nội dung tại cột </t>
    </r>
    <r>
      <rPr>
        <b/>
        <sz val="11"/>
        <color rgb="FF000000"/>
        <rFont val="Aptos Narrow"/>
        <scheme val="minor"/>
      </rPr>
      <t xml:space="preserve">Chi tiết
</t>
    </r>
    <r>
      <rPr>
        <sz val="11"/>
        <color rgb="FF000000"/>
        <rFont val="Aptos Narrow"/>
        <scheme val="minor"/>
      </rPr>
      <t>2. Lưu tạm thời</t>
    </r>
  </si>
  <si>
    <t>Nội dung được cập nhật và hiển thị đầy đủ</t>
  </si>
  <si>
    <t>Là Underwriter, tôi muốn kiểm tra validate khi bỏ trống chi tiết</t>
  </si>
  <si>
    <t>Điều khoản yêu cầu nhập chi tiết</t>
  </si>
  <si>
    <r>
      <rPr>
        <sz val="11"/>
        <color rgb="FF000000"/>
        <rFont val="Aptos Narrow"/>
        <scheme val="minor"/>
      </rPr>
      <t xml:space="preserve">1. Xoá nội dung chi tiết
2. Nhấn </t>
    </r>
    <r>
      <rPr>
        <b/>
        <sz val="11"/>
        <color rgb="FF000000"/>
        <rFont val="Aptos Narrow"/>
        <scheme val="minor"/>
      </rPr>
      <t>Tiếp theo</t>
    </r>
  </si>
  <si>
    <t>Hiển thị lỗi, không cho sang bước tiếp</t>
  </si>
  <si>
    <t>Là Underwriter, tôi muốn sắp xếp lại thứ tự điều khoản</t>
  </si>
  <si>
    <t>Drag &amp; Drop</t>
  </si>
  <si>
    <t>Có ≥ 2 điều khoản</t>
  </si>
  <si>
    <t>Kiểm tra kéo thả</t>
  </si>
  <si>
    <t>1. Giữ icon kéo thả
2. Kéo điều khoản sang vị trí khác</t>
  </si>
  <si>
    <t>Thứ tự điều khoản và STT được cập nhật đúng</t>
  </si>
  <si>
    <t>Là Underwriter, tôi muốn thêm điều khoản thủ công</t>
  </si>
  <si>
    <t>Thêm điều khoản</t>
  </si>
  <si>
    <t>Đang ở Bước 2</t>
  </si>
  <si>
    <t>Kiểm tra thêm mới</t>
  </si>
  <si>
    <r>
      <rPr>
        <sz val="11"/>
        <color rgb="FF000000"/>
        <rFont val="Aptos Narrow"/>
        <scheme val="minor"/>
      </rPr>
      <t xml:space="preserve">1. Nhấn </t>
    </r>
    <r>
      <rPr>
        <b/>
        <sz val="11"/>
        <color rgb="FF000000"/>
        <rFont val="Aptos Narrow"/>
        <scheme val="minor"/>
      </rPr>
      <t xml:space="preserve">+ Thêm điều khoản
</t>
    </r>
    <r>
      <rPr>
        <sz val="11"/>
        <color rgb="FF000000"/>
        <rFont val="Aptos Narrow"/>
        <scheme val="minor"/>
      </rPr>
      <t>2. Nhập thông tin</t>
    </r>
  </si>
  <si>
    <t>Thêm dòng điều khoản mới thành công</t>
  </si>
  <si>
    <t>Là Underwriter, tôi muốn xoá điều khoản không cần thiết</t>
  </si>
  <si>
    <t>Xoá điều khoản</t>
  </si>
  <si>
    <t>Có điều khoản trong danh sách</t>
  </si>
  <si>
    <t>Kiểm tra xoá</t>
  </si>
  <si>
    <t>1. Hover vào điều khoản
2. Nhấn icon thùng rác</t>
  </si>
  <si>
    <t>Điều khoản bị xoá, STT cập nhật liền mạch</t>
  </si>
  <si>
    <t>Là Underwriter, tôi muốn quay lại Bước 1 để chỉnh sửa</t>
  </si>
  <si>
    <t>Kiểm tra nút Quay lại</t>
  </si>
  <si>
    <t>Hệ thống quay về Bước 1 và giữ nguyên dữ liệu</t>
  </si>
  <si>
    <t>Là Underwriter, tôi muốn sang Bước 3 sau khi hoàn tất</t>
  </si>
  <si>
    <t>Tiếp theo</t>
  </si>
  <si>
    <t>Dữ liệu hợp lệ</t>
  </si>
  <si>
    <r>
      <t xml:space="preserve">1. Nhấn </t>
    </r>
    <r>
      <rPr>
        <b/>
        <sz val="11"/>
        <color theme="1"/>
        <rFont val="Aptos Narrow"/>
        <family val="2"/>
        <scheme val="minor"/>
      </rPr>
      <t>Tiếp theo</t>
    </r>
  </si>
  <si>
    <t>Hệ thống lưu dữ liệu Bước 2 và chuyển sang Bước 3</t>
  </si>
  <si>
    <t>Quản lý HĐBH (B3)</t>
  </si>
  <si>
    <t>Là Underwriter, tôi muốn truy cập Bước 3 để nhập mức khấu trừ</t>
  </si>
  <si>
    <t>Tạo hồ sơ bảo hiểm</t>
  </si>
  <si>
    <t>Truy cập bước Mức khấu trừ</t>
  </si>
  <si>
    <t>Đã hoàn thành hợp lệ Bước 1 và Bước 2</t>
  </si>
  <si>
    <t>Kiểm tra điều hướng sang Bước 3</t>
  </si>
  <si>
    <r>
      <rPr>
        <sz val="11"/>
        <color rgb="FF000000"/>
        <rFont val="Aptos Narrow"/>
        <scheme val="minor"/>
      </rPr>
      <t xml:space="preserve">1. Hoàn thành Bước 2
2. Nhấn nút </t>
    </r>
    <r>
      <rPr>
        <b/>
        <sz val="11"/>
        <color rgb="FF000000"/>
        <rFont val="Aptos Narrow"/>
        <scheme val="minor"/>
      </rPr>
      <t>Tiếp theo</t>
    </r>
  </si>
  <si>
    <r>
      <t xml:space="preserve">Hệ thống chuyển sang Bước 3Tiêu đề hiển thị </t>
    </r>
    <r>
      <rPr>
        <b/>
        <sz val="11"/>
        <color theme="1"/>
        <rFont val="Aptos Narrow"/>
        <family val="2"/>
        <scheme val="minor"/>
      </rPr>
      <t>Mức khấu trừ</t>
    </r>
  </si>
  <si>
    <t>Là Underwriter, tôi muốn hệ thống hiển thị đúng danh sách mức khấu trừ mặc định</t>
  </si>
  <si>
    <t>Mức khấu trừ</t>
  </si>
  <si>
    <t>Hiển thị danh sách</t>
  </si>
  <si>
    <t>Có phạm vi bảo hiểm “Mọi rủi ro tài sản”</t>
  </si>
  <si>
    <t>Kiểm tra danh sách mức khấu trừ mặc định</t>
  </si>
  <si>
    <t>1. Truy cập Bước 3</t>
  </si>
  <si>
    <t>Hiển thị đầy đủ các loại rủi ro theo cấu hình hệ thống</t>
  </si>
  <si>
    <t>Là Underwriter, tôi muốn nhập mức khấu trừ cho từng loại rủi ro</t>
  </si>
  <si>
    <t>Nhập giá trị</t>
  </si>
  <si>
    <t>Đang ở Bước 3</t>
  </si>
  <si>
    <t>Kiểm tra nhập số tiền khấu trừ</t>
  </si>
  <si>
    <t>1. Nhập số tiền vào ô mức khấu trừ
2. Click ra ngoài ô</t>
  </si>
  <si>
    <t>Giá trị được lưu đúngChỉ cho phép nhập số</t>
  </si>
  <si>
    <t>Là Underwriter, tôi muốn không nhập được ký tự không hợp lệ</t>
  </si>
  <si>
    <t>Validation dữ liệu</t>
  </si>
  <si>
    <t>Kiểm tra validate dữ liệu</t>
  </si>
  <si>
    <t>1. Nhập chữ/ký tự đặc biệt vào ô mức khấu trừ</t>
  </si>
  <si>
    <t>Hệ thống không cho nhập hoặc hiển thị lỗi</t>
  </si>
  <si>
    <t>Là Underwriter, tôi muốn sắp xếp lại thứ tự mức khấu trừ</t>
  </si>
  <si>
    <t>Có ≥ 2 dòng mức khấu trừ</t>
  </si>
  <si>
    <t>Kiểm tra kéo thả thứ tự</t>
  </si>
  <si>
    <t>1. Giữ biểu tượng kéo thả2. Kéo lên/xuống dòng khác</t>
  </si>
  <si>
    <t>Thứ tự hiển thị thay đổiSTT cập nhật đúng</t>
  </si>
  <si>
    <t>Là Underwriter, tôi muốn thêm mức khấu trừ mới</t>
  </si>
  <si>
    <t>Kiểm tra thêm dòng mới</t>
  </si>
  <si>
    <r>
      <t xml:space="preserve">1. Nhấn </t>
    </r>
    <r>
      <rPr>
        <b/>
        <sz val="11"/>
        <color theme="1"/>
        <rFont val="Aptos Narrow"/>
        <family val="2"/>
        <scheme val="minor"/>
      </rPr>
      <t>+ Thêm điều khoản</t>
    </r>
  </si>
  <si>
    <t>Hệ thống thêm 1 dòng mức khấu trừ mới trống</t>
  </si>
  <si>
    <t>Là Underwriter, tôi muốn xoá mức khấu trừ không cần thiết</t>
  </si>
  <si>
    <t>Có mức khấu trừ trong danh sách</t>
  </si>
  <si>
    <t>Kiểm tra xoá dòng</t>
  </si>
  <si>
    <t>1. Hover vào dòng
2. Nhấn icon thùng rác</t>
  </si>
  <si>
    <t>Dòng bị xoáDanh sách tự cập nhật</t>
  </si>
  <si>
    <t>Là Underwriter, tôi muốn quay lại Bước 2</t>
  </si>
  <si>
    <r>
      <t xml:space="preserve">1. Nhấn nút </t>
    </r>
    <r>
      <rPr>
        <b/>
        <sz val="11"/>
        <color theme="1"/>
        <rFont val="Aptos Narrow"/>
        <family val="2"/>
        <scheme val="minor"/>
      </rPr>
      <t>Quay lại</t>
    </r>
  </si>
  <si>
    <t>Quay về Bước 2Dữ liệu Bước 2 được giữ nguyên</t>
  </si>
  <si>
    <t>Là Underwriter, tôi muốn chuyển sang Bước 4</t>
  </si>
  <si>
    <t>Đã nhập đầy đủ mức khấu trừ hợp lệ</t>
  </si>
  <si>
    <t>Hệ thống chuyển sang Bước 4</t>
  </si>
  <si>
    <t>Là Underwriter, tôi không muốn tiếp tục khi thiếu dữ liệu bắt buộc</t>
  </si>
  <si>
    <t>Có ô mức khấu trừ chưa nhập</t>
  </si>
  <si>
    <t>Kiểm tra validate khi tiếp tục</t>
  </si>
  <si>
    <r>
      <rPr>
        <sz val="11"/>
        <color rgb="FF000000"/>
        <rFont val="Aptos Narrow"/>
        <scheme val="minor"/>
      </rPr>
      <t xml:space="preserve">1. Để trống mức khấu trừ bắt buộc
2. Nhấn </t>
    </r>
    <r>
      <rPr>
        <b/>
        <sz val="11"/>
        <color rgb="FF000000"/>
        <rFont val="Aptos Narrow"/>
        <scheme val="minor"/>
      </rPr>
      <t>Tiếp theo</t>
    </r>
  </si>
  <si>
    <t>Hiển thị lỗiKhông chuyển sang Bước 4</t>
  </si>
  <si>
    <t>Quản lý HĐBH (B4)</t>
  </si>
  <si>
    <t>Là Underwriter, tôi muốn xem thống kê trước khi đề xuất</t>
  </si>
  <si>
    <t>Đề xuất công ty BH</t>
  </si>
  <si>
    <t>Dashboard thống kê</t>
  </si>
  <si>
    <t>Có dữ liệu lịch sử</t>
  </si>
  <si>
    <t>Kiểm tra hiển thị dashboard khi đủ dữ liệu</t>
  </si>
  <si>
    <t>1. Truy cập Bước 4</t>
  </si>
  <si>
    <t>Biểu đồ hiển thị đầy đủ, không chỉnh sửa được</t>
  </si>
  <si>
    <t>Là Underwriter, tôi muốn hệ thống xử lý khi thiếu dữ liệu thống kê</t>
  </si>
  <si>
    <t>Không có dữ liệu 1–3 năm</t>
  </si>
  <si>
    <t>Kiểm tra dashboard khi dữ liệu trống</t>
  </si>
  <si>
    <t>Hiển thị “Không có dữ liệu”, không lỗi</t>
  </si>
  <si>
    <t>Là Underwriter, tôi muốn nhập tỷ lệ phí hợp lệ</t>
  </si>
  <si>
    <t>Nhập tỷ lệ phí</t>
  </si>
  <si>
    <t>Nhập số</t>
  </si>
  <si>
    <t>Có STBH</t>
  </si>
  <si>
    <t>Nhập tỷ lệ phí &gt; 0</t>
  </si>
  <si>
    <t>1. Nhập 0.05</t>
  </si>
  <si>
    <t>Phí bảo hiểm tự động tính đúng</t>
  </si>
  <si>
    <t>Là Underwriter, tôi không được nhập tỷ lệ phí bằng 0</t>
  </si>
  <si>
    <t>Kiểm tra tỷ lệ = 0</t>
  </si>
  <si>
    <t>1. Nhập 0</t>
  </si>
  <si>
    <t>Hiển thị lỗi, không cho tiếp</t>
  </si>
  <si>
    <t>Là Underwriter, tôi không được nhập tỷ lệ phí âm</t>
  </si>
  <si>
    <t>Kiểm tra tỷ lệ âm</t>
  </si>
  <si>
    <t>1. Nhập -0.01</t>
  </si>
  <si>
    <t>Không cho nhập / báo lỗi</t>
  </si>
  <si>
    <t>Là Underwriter, tôi không được nhập ký tự</t>
  </si>
  <si>
    <t>Nhập ký tự không hợp lệ</t>
  </si>
  <si>
    <t>1. Nhập “abc”</t>
  </si>
  <si>
    <t>Không nhận giá trị</t>
  </si>
  <si>
    <t>Là Underwriter, tôi muốn hệ thống làm tròn phí đúng</t>
  </si>
  <si>
    <t>Tính phí</t>
  </si>
  <si>
    <t>Làm tròn số</t>
  </si>
  <si>
    <t>Có tỷ lệ lẻ</t>
  </si>
  <si>
    <t>Kiểm tra làm tròn VNĐ</t>
  </si>
  <si>
    <t>1. Nhập 0.0375</t>
  </si>
  <si>
    <t>Phí làm tròn đúng rule</t>
  </si>
  <si>
    <t>Là Underwriter, tôi muốn hệ thống cập nhật phí realtime</t>
  </si>
  <si>
    <t>Auto update</t>
  </si>
  <si>
    <t>Có nhiều hạng mục</t>
  </si>
  <si>
    <t>Thay đổi tỷ lệ liên tục</t>
  </si>
  <si>
    <t>1. Sửa nhiều dòng</t>
  </si>
  <si>
    <t>Phí cập nhật realtime, không lag</t>
  </si>
  <si>
    <t>Là Underwriter, tôi muốn chọn công ty mặc định</t>
  </si>
  <si>
    <t>Danh sách công ty</t>
  </si>
  <si>
    <t>Có dữ liệu auto</t>
  </si>
  <si>
    <t>Kiểm tra danh sách đề xuất sẵn</t>
  </si>
  <si>
    <t>Danh sách hiển thị đúng</t>
  </si>
  <si>
    <t>Là Underwriter, tôi không được để trống danh sách công ty</t>
  </si>
  <si>
    <t>Validate danh sách</t>
  </si>
  <si>
    <t>Có công ty mặc định</t>
  </si>
  <si>
    <t>Xoá hết công ty</t>
  </si>
  <si>
    <t>1. Xoá toàn bộ</t>
  </si>
  <si>
    <t>Báo lỗi, yêu cầu ≥ 1 công ty</t>
  </si>
  <si>
    <t>Là Underwriter, tôi không được thêm công ty trùng</t>
  </si>
  <si>
    <t>Thêm công ty</t>
  </si>
  <si>
    <t>Công ty đã tồn tại</t>
  </si>
  <si>
    <t>Thêm công ty trùng</t>
  </si>
  <si>
    <t>1. Nhấn Thêm 
2. Chọn công ty cũ</t>
  </si>
  <si>
    <t>Không cho thêm trùng</t>
  </si>
  <si>
    <t>Là Underwriter, tôi muốn thêm công ty mới</t>
  </si>
  <si>
    <t>Có danh sách công ty</t>
  </si>
  <si>
    <t>Thêm công ty ngoài auto</t>
  </si>
  <si>
    <t>1. Nhấn + Thêm 
2. Chọn công ty</t>
  </si>
  <si>
    <t>Công ty được thêm</t>
  </si>
  <si>
    <t>Là Underwriter, tôi muốn xoá công ty auto</t>
  </si>
  <si>
    <t>Xoá công ty</t>
  </si>
  <si>
    <t>Có công ty auto</t>
  </si>
  <si>
    <t>Xoá công ty đề xuất sẵn</t>
  </si>
  <si>
    <t>1. Nhấn icon xoá</t>
  </si>
  <si>
    <t>Công ty bị xoá</t>
  </si>
  <si>
    <t>Là Underwriter, tôi muốn nhập ý kiến gửi lãnh đạo</t>
  </si>
  <si>
    <t>Gửi xét duyệt</t>
  </si>
  <si>
    <t>Ý kiến lãnh đạo</t>
  </si>
  <si>
    <t>Không bắt buộc</t>
  </si>
  <si>
    <t>Nhập ý kiến &lt; 1000 ký tự</t>
  </si>
  <si>
    <t>1. Nhập nội dung</t>
  </si>
  <si>
    <t>Lưu thành công</t>
  </si>
  <si>
    <t>Là Underwriter, tôi không được nhập ý kiến quá dài</t>
  </si>
  <si>
    <t>Validate text</t>
  </si>
  <si>
    <t>&gt;1000 ký tự</t>
  </si>
  <si>
    <t>Kiểm tra giới hạn ký tự</t>
  </si>
  <si>
    <t>1. Nhập &gt;1000 ký tự</t>
  </si>
  <si>
    <t>Báo lỗi</t>
  </si>
  <si>
    <t>Là Underwriter, tôi không được inject script</t>
  </si>
  <si>
    <t>Bảo mật</t>
  </si>
  <si>
    <t>Validate input</t>
  </si>
  <si>
    <t>Có input text</t>
  </si>
  <si>
    <t>Nhập script</t>
  </si>
  <si>
    <t>1. Nhập</t>
  </si>
  <si>
    <t>Không render HTML</t>
  </si>
  <si>
    <t>Là Underwriter, tôi muốn dữ liệu không mất khi reload</t>
  </si>
  <si>
    <t>Luồng hệ thống</t>
  </si>
  <si>
    <t>Lưu tạm</t>
  </si>
  <si>
    <t>Đã nhập dữ liệu</t>
  </si>
  <si>
    <t>Reload trang</t>
  </si>
  <si>
    <t>1. Refresh</t>
  </si>
  <si>
    <t>Dữ liệu được giữ</t>
  </si>
  <si>
    <t>Là Underwriter, tôi không submit khi thiếu dữ liệu</t>
  </si>
  <si>
    <t>Validate trước submit</t>
  </si>
  <si>
    <t>Thiếu 1 tỷ lệ</t>
  </si>
  <si>
    <t>Kiểm tra nút Tiếp theo</t>
  </si>
  <si>
    <t>1. Nhấn Tiếp theo</t>
  </si>
  <si>
    <t>Không chuyển bước</t>
  </si>
  <si>
    <t>Là Underwriter, tôi không bị submit trùng</t>
  </si>
  <si>
    <t>Chống double click</t>
  </si>
  <si>
    <t>Click nhiều lần</t>
  </si>
  <si>
    <t>1. Double click</t>
  </si>
  <si>
    <t>Chỉ tạo 1 request</t>
  </si>
  <si>
    <t>Là Underwriter, tôi muốn sang màn hình bản chào phí</t>
  </si>
  <si>
    <t>Hoàn tất Bước 4</t>
  </si>
  <si>
    <t>Chuyển sang màn hình bản chào phí</t>
  </si>
  <si>
    <t>Kiểm Tra Bản Chào Phí</t>
  </si>
  <si>
    <t>Là Underwriter, tôi muốn xem tổng quan giá trị và phí bảo hiểm trước khi gửi duyệt</t>
  </si>
  <si>
    <t>Hiển thị tổng quan</t>
  </si>
  <si>
    <t>Đã hoàn tất Bước 1–3</t>
  </si>
  <si>
    <t>Kiểm tra hiển thị Giá trị tham gia BH và Tổng phí BH</t>
  </si>
  <si>
    <t>1. Truy cập Bước 4
2. Quan sát 2 chỉ số đầu trang</t>
  </si>
  <si>
    <t>Hiển thị đúng giá trị tổng hợp, đúng đơn vị VND</t>
  </si>
  <si>
    <t>Là Underwriter, tôi muốn hệ thống tính đúng Tổng phí BH</t>
  </si>
  <si>
    <t>Có dữ liệu STBH &amp; tỷ lệ phí</t>
  </si>
  <si>
    <t>Kiểm tra công thức tính tổng phí</t>
  </si>
  <si>
    <t>1. Nhập tỷ lệ phí ở Bước 4
2. Quan sát Tổng phí</t>
  </si>
  <si>
    <t>Tổng phí = tổng phí các phạm vi, tính đúng theo công thức</t>
  </si>
  <si>
    <t>Là Underwriter, tôi muốn phát hiện lỗi khi Tổng phí = 0</t>
  </si>
  <si>
    <t>Tỷ lệ phí = 0 hoặc trống</t>
  </si>
  <si>
    <t>Kiểm tra xử lý tổng phí bằng 0</t>
  </si>
  <si>
    <t>1. Để trống hoặc nhập 0 tỷ lệ phí
2. Nhấn Gửi duyệt</t>
  </si>
  <si>
    <t>Hệ thống không cho submit, hiển thị thông báo lỗi</t>
  </si>
  <si>
    <t>Là Underwriter, tôi muốn rà soát chi tiết thông tin hợp đồng</t>
  </si>
  <si>
    <t>Hiển thị chi tiết</t>
  </si>
  <si>
    <t>Đã nhập dữ liệu ở các bước trước</t>
  </si>
  <si>
    <t>Kiểm tra các trường thông tin chi tiết</t>
  </si>
  <si>
    <t>1. Cuộn xem Loại hình, NĐBH, Địa điểm, Tài sản, Thời hạn</t>
  </si>
  <si>
    <t>Dữ liệu hiển thị đầy đủ, đúng với dữ liệu đã nhập</t>
  </si>
  <si>
    <t>Là Underwriter, tôi muốn phát hiện dữ liệu bị trống</t>
  </si>
  <si>
    <t>Validate hiển thị</t>
  </si>
  <si>
    <t>Có trường dữ liệu null</t>
  </si>
  <si>
    <t>Kiểm tra hiển thị khi dữ liệu trống</t>
  </si>
  <si>
    <t>1. Truy cập Bước 4 với dữ liệu thiếu</t>
  </si>
  <si>
    <t>Không hiển thị dữ liệu rỗng hoặc hiển thị cảnh báo</t>
  </si>
  <si>
    <t>Là Underwriter, tôi muốn hệ thống xử lý nội dung dài</t>
  </si>
  <si>
    <t>Hiển thị nội dung dài</t>
  </si>
  <si>
    <t>Nội dung tài sản dài</t>
  </si>
  <si>
    <t>Kiểm tra vỡ layout</t>
  </si>
  <si>
    <t>1. Nhập mô tả tài sản dài
2. Xem Bước 4</t>
  </si>
  <si>
    <t>Không vỡ layout, hiển thị gọn hoặc có xuống dòng</t>
  </si>
  <si>
    <t>Là Underwriter, tôi muốn quay lại chỉnh sửa thông tin</t>
  </si>
  <si>
    <t>Đang ở Bước 4</t>
  </si>
  <si>
    <t>1. Nhấn Quay lại
2. Chỉnh sửa dữ liệu
3. Quay lại Bước 4</t>
  </si>
  <si>
    <t>Dữ liệu được cập nhật đúng, không mất dữ liệu</t>
  </si>
  <si>
    <t>Là Underwriter, tôi muốn dữ liệu được đồng bộ sau chỉnh sửa</t>
  </si>
  <si>
    <t>Đồng bộ dữ liệu</t>
  </si>
  <si>
    <t>Đã sửa ở Bước 2/3</t>
  </si>
  <si>
    <t>Kiểm tra cập nhật tổng phí</t>
  </si>
  <si>
    <t>1. Quay lại Bước 3 sửa khấu trừ
2. Quay lại Bước 4</t>
  </si>
  <si>
    <t>Tổng phí &amp; tổng quan được cập nhật</t>
  </si>
  <si>
    <t>Là Underwriter, tôi muốn lưu hồ sơ ở trạng thái nháp</t>
  </si>
  <si>
    <t>Lưu nháp</t>
  </si>
  <si>
    <t>Kiểm tra chức năng Lưu nháp</t>
  </si>
  <si>
    <t>1. Nhấn Lưu bản nháp</t>
  </si>
  <si>
    <t>Hồ sơ được lưu trạng thái “Nháp”, quay về danh sách</t>
  </si>
  <si>
    <t>Là Underwriter, tôi muốn mở lại hồ sơ nháp</t>
  </si>
  <si>
    <t>Quản lý hồ sơ</t>
  </si>
  <si>
    <t>Load dữ liệu nháp</t>
  </si>
  <si>
    <t>Có hồ sơ nháp</t>
  </si>
  <si>
    <t>Kiểm tra load lại dữ liệu</t>
  </si>
  <si>
    <t>1. Mở hồ sơ nháp</t>
  </si>
  <si>
    <t>Dữ liệu load đúng, quay về đúng bước</t>
  </si>
  <si>
    <t>Là Underwriter, tôi muốn gửi hồ sơ để lãnh đạo duyệt</t>
  </si>
  <si>
    <t>Gửi duyệt</t>
  </si>
  <si>
    <t>Kiểm tra submit hồ sơ</t>
  </si>
  <si>
    <t>1. Nhấn Gửi lãnh đạo duyệt</t>
  </si>
  <si>
    <t>Hồ sơ chuyển trạng thái “Chờ xét duyệt”, hiển thị SM2</t>
  </si>
  <si>
    <t>Là Underwriter, tôi không muốn gửi hồ sơ khi thiếu dữ liệu</t>
  </si>
  <si>
    <t>Validate submit</t>
  </si>
  <si>
    <t>Thiếu dữ liệu bắt buộc</t>
  </si>
  <si>
    <t>Kiểm tra chặn submit</t>
  </si>
  <si>
    <t>1. Bỏ trống dữ liệu
2. Nhấn Gửi duyệt</t>
  </si>
  <si>
    <t>Hệ thống không submit, hiển thị lỗi</t>
  </si>
  <si>
    <t>Là Underwriter, tôi muốn tránh submit trùng</t>
  </si>
  <si>
    <t>Chống submit trùng</t>
  </si>
  <si>
    <t>Click nhanh nhiều lần</t>
  </si>
  <si>
    <t>Kiểm tra submit nhiều lần</t>
  </si>
  <si>
    <t>1. Nhấn Gửi duyệt liên tục</t>
  </si>
  <si>
    <t>Chỉ tạo 1 hồ sơ duy nhất</t>
  </si>
  <si>
    <t>Là Underwriter, tôi muốn hệ thống xử lý khi mất mạng</t>
  </si>
  <si>
    <t>Xử lý lỗi hệ thống</t>
  </si>
  <si>
    <t>Mất kết nối</t>
  </si>
  <si>
    <t>Kiểm tra submit khi mất mạng</t>
  </si>
  <si>
    <t>1. Ngắt mạng
2. Nhấn Gửi duyệt</t>
  </si>
  <si>
    <t>Hiển thị lỗi, không tạo hồ sơ</t>
  </si>
  <si>
    <t>Là Underwriter, tôi không muốn user khác sửa hồ sơ đã submit</t>
  </si>
  <si>
    <t>Phân quyền</t>
  </si>
  <si>
    <t>Khóa chỉnh sửa</t>
  </si>
  <si>
    <t>Hồ sơ đã gửi duyệt</t>
  </si>
  <si>
    <t>Kiểm tra quyền sửa</t>
  </si>
  <si>
    <t>1. User khác mở hồ sơ</t>
  </si>
  <si>
    <t>Không cho chỉnh sửa</t>
  </si>
  <si>
    <t>Là hệ thống, tôi không cho truy cập trực tiếp Bước 4</t>
  </si>
  <si>
    <t>Bảo mật luồng</t>
  </si>
  <si>
    <t>Chặn truy cập</t>
  </si>
  <si>
    <t>Không qua Bước 1–3</t>
  </si>
  <si>
    <t>Kiểm tra truy cập trực tiếp URL</t>
  </si>
  <si>
    <t>1. Mở link Bước 4</t>
  </si>
  <si>
    <t>Hệ thống chuyển về Bước 1 hoặc báo lỗi</t>
  </si>
  <si>
    <t>Tạo Phụ Lục Hợp Đồng Bảo Hiểm (B1)</t>
  </si>
  <si>
    <t>Là Underwriter, tôi muốn chọn Loại hình &amp; Địa điểm cho phụ lục</t>
  </si>
  <si>
    <t>Chọn loại hình &amp; địa điểm</t>
  </si>
  <si>
    <t>Đang tạo hồ sơ mới</t>
  </si>
  <si>
    <t>Kiểm tra chọn Loại hình bảo hiểm và Địa điểm</t>
  </si>
  <si>
    <t>1. Truy cập Bước 1
2. Chọn Loại hình BH
3. Chọn Địa điểm</t>
  </si>
  <si>
    <t>Loại hình &amp; Địa điểm được chọn hợp lệ, không báo lỗi</t>
  </si>
  <si>
    <t>Là Underwriter, tôi muốn chọn loại hồ sơ là Phụ lục</t>
  </si>
  <si>
    <t>Chọn loại hồ sơ</t>
  </si>
  <si>
    <t>Đã chọn Loại hình &amp; Địa điểm</t>
  </si>
  <si>
    <t>Kiểm tra chọn “Phụ lục”</t>
  </si>
  <si>
    <t>1. Nhấn nút “Phụ lục”</t>
  </si>
  <si>
    <t>Giao diện chuyển sang chế độ Phụ lục</t>
  </si>
  <si>
    <t>Là Underwriter, tôi muốn giao diện hiển thị đúng trường cho Phụ lục</t>
  </si>
  <si>
    <t>Hiển thị UI</t>
  </si>
  <si>
    <t>Đã chọn “Phụ lục”</t>
  </si>
  <si>
    <t>Kiểm tra UI phụ lục</t>
  </si>
  <si>
    <t>1. Quan sát màn hình</t>
  </si>
  <si>
    <t>Hiển thị các trường: Ngày hiệu lực PLHD, thay đổi phí, tóm tắt nội dung</t>
  </si>
  <si>
    <t>Là Underwriter, tôi muốn nhập ngày hiệu lực PLHD</t>
  </si>
  <si>
    <t>Nhập thời gian</t>
  </si>
  <si>
    <t>Đang ở chế độ Phụ lục</t>
  </si>
  <si>
    <t>Kiểm tra nhập ngày hiệu lực</t>
  </si>
  <si>
    <t>1. Chọn ngày tại “Ngày bắt đầu hiệu lực PLHD”</t>
  </si>
  <si>
    <t>Ngày được chọn thành công</t>
  </si>
  <si>
    <t>Là hệ thống, tôi không cho ngày PLHD &lt; ngày hiện tại</t>
  </si>
  <si>
    <t>Validate ngày</t>
  </si>
  <si>
    <t>Ngày nhỏ hơn ngày hiện tại</t>
  </si>
  <si>
    <t>Kiểm tra ràng buộc ngày</t>
  </si>
  <si>
    <t>1. Chọn ngày quá khứ</t>
  </si>
  <si>
    <t>Hiển thị lỗi, không cho tiếp tục</t>
  </si>
  <si>
    <t>Là hệ thống, tôi không cho ngày PLHD &gt; ngày kết thúc HĐ chính</t>
  </si>
  <si>
    <t>Ngày vượt thời hạn HĐ</t>
  </si>
  <si>
    <t>Kiểm tra ràng buộc nghiệp vụ</t>
  </si>
  <si>
    <t>1. Chọn ngày PLHD sau ngày kết thúc HĐ</t>
  </si>
  <si>
    <t>Hiển thị lỗi nghiệp vụ</t>
  </si>
  <si>
    <t>Là Underwriter, tôi muốn giữ nguyên phí</t>
  </si>
  <si>
    <t>Phụ lục</t>
  </si>
  <si>
    <t>Không thay đổi phí</t>
  </si>
  <si>
    <t>Toggle OFF</t>
  </si>
  <si>
    <t>Kiểm tra toggle OFF</t>
  </si>
  <si>
    <t>1. Không bật “Thay đổi số tiền/phí BH”</t>
  </si>
  <si>
    <t>Không hiển thị phần điều chỉnh</t>
  </si>
  <si>
    <t>Là Underwriter, tôi muốn thay đổi số tiền/phí BH</t>
  </si>
  <si>
    <t>Bật thay đổi phí</t>
  </si>
  <si>
    <t>Toggle ON</t>
  </si>
  <si>
    <t>Kiểm tra bật toggle</t>
  </si>
  <si>
    <t>1. Gạt toggle sang ON</t>
  </si>
  <si>
    <t>Hiển thị thêm các trường điều chỉnh</t>
  </si>
  <si>
    <t>Là Underwriter, tôi muốn xem Số tiền BH ban đầu</t>
  </si>
  <si>
    <t>Hiển thị STBH</t>
  </si>
  <si>
    <t>Kiểm tra hiển thị STBH</t>
  </si>
  <si>
    <t>1. Quan sát ô STBH ban đầu</t>
  </si>
  <si>
    <t>Hiển thị đúng, read-only</t>
  </si>
  <si>
    <t>Là Underwriter, tôi muốn chọn loại điều chỉnh</t>
  </si>
  <si>
    <t>Chọn tăng/giảm</t>
  </si>
  <si>
    <t>Kiểm tra chọn loại điều chỉnh</t>
  </si>
  <si>
    <t>1. Mở dropdown
2. Chọn Tăng hoặc Giảm</t>
  </si>
  <si>
    <t>Giá trị được chọn</t>
  </si>
  <si>
    <t>Là Underwriter, tôi muốn nhập giá trị điều chỉnh</t>
  </si>
  <si>
    <t>Nhập số tiền</t>
  </si>
  <si>
    <t>Đã chọn Tăng/Giảm</t>
  </si>
  <si>
    <t>Kiểm tra nhập số tiền</t>
  </si>
  <si>
    <t>1. Nhập số tiền điều chỉnh</t>
  </si>
  <si>
    <t>Giá trị được ghi nhận</t>
  </si>
  <si>
    <t>Là hệ thống, tôi không cho nhập số tiền &lt;= 0</t>
  </si>
  <si>
    <t>Validate số</t>
  </si>
  <si>
    <t>Nhập 0 hoặc số âm</t>
  </si>
  <si>
    <t>1. Nhập 0 hoặc -100</t>
  </si>
  <si>
    <t>Hiển thị lỗi</t>
  </si>
  <si>
    <t>Là hệ thống, tôi không cho giảm vượt STBH ban đầu</t>
  </si>
  <si>
    <t>Validate nghiệp vụ</t>
  </si>
  <si>
    <t>Validate giảm</t>
  </si>
  <si>
    <t>Chọn “Giảm”</t>
  </si>
  <si>
    <t>Kiểm tra logic giảm</t>
  </si>
  <si>
    <t>1. Nhập số tiền giảm &gt; STBH</t>
  </si>
  <si>
    <t>Là Underwriter, tôi muốn nhập tỷ lệ phí mới</t>
  </si>
  <si>
    <t>Kiểm tra nhập tỷ lệ</t>
  </si>
  <si>
    <t>1. Nhập tỷ lệ phí mới</t>
  </si>
  <si>
    <t>Giá trị được chấp nhận</t>
  </si>
  <si>
    <t>Là hệ thống, tôi không cho nhập tỷ lệ phí &lt;= 0</t>
  </si>
  <si>
    <t>Validate tỷ lệ</t>
  </si>
  <si>
    <t>Nhập 0 hoặc âm</t>
  </si>
  <si>
    <t>1. Nhập 0 hoặc -0.1</t>
  </si>
  <si>
    <t>Là hệ thống, tôi không cho nhập tỷ lệ phí &gt; 100%</t>
  </si>
  <si>
    <t>Nhập &gt; 100</t>
  </si>
  <si>
    <t>1. Nhập 150</t>
  </si>
  <si>
    <t>Là Underwriter, tôi muốn nhập tóm tắt nội dung sửa đổi</t>
  </si>
  <si>
    <t>Nhập mô tả</t>
  </si>
  <si>
    <t>Không</t>
  </si>
  <si>
    <t>Kiểm tra nhập mô tả</t>
  </si>
  <si>
    <t>Nội dung được lưu</t>
  </si>
  <si>
    <t>Là hệ thống, tôi giới hạn độ dài tóm tắt</t>
  </si>
  <si>
    <t>Validate độ dài</t>
  </si>
  <si>
    <t>Nhập quá dài</t>
  </si>
  <si>
    <t>Kiểm tra giới hạn</t>
  </si>
  <si>
    <t>1. Nhập &gt; giới hạn ký tự</t>
  </si>
  <si>
    <t>Là Underwriter, tôi muốn quay lại bước trước</t>
  </si>
  <si>
    <t>Đang ở Bước 1</t>
  </si>
  <si>
    <t>Quay về màn trước, giữ dữ liệu</t>
  </si>
  <si>
    <t>Là Underwriter, tôi muốn chuyển sang bước tiếp theo</t>
  </si>
  <si>
    <t>Chuyển sang bước xem lại phụ lục</t>
  </si>
  <si>
    <t>Là hệ thống, tôi chặn Tiếp theo khi thiếu dữ liệu</t>
  </si>
  <si>
    <t>Validate luồng</t>
  </si>
  <si>
    <t>Chặn chuyển bước</t>
  </si>
  <si>
    <t>Thiếu trường bắt buộc</t>
  </si>
  <si>
    <t>1. Bỏ trống trường bắt buộc 
2. Nhấn Tiếp theo</t>
  </si>
  <si>
    <t>Không chuyển bước, hiển thị lỗi</t>
  </si>
  <si>
    <t>Là hệ thống, tôi không cho truy cập trực tiếp Bước 1 Phụ lục</t>
  </si>
  <si>
    <t>Validate URL</t>
  </si>
  <si>
    <t>Truy cập URL trực tiếp</t>
  </si>
  <si>
    <t>Kiểm tra bảo mật</t>
  </si>
  <si>
    <t>1. Mở link trực tiếp</t>
  </si>
  <si>
    <t>Chuyển về danh sách hoặc báo lỗi</t>
  </si>
  <si>
    <t>Tạo Phụ Lục Hợp Đồng Bảo Hiểm (B2)</t>
  </si>
  <si>
    <t>Hiển thị đúng thanh tiến trình tại bước 2</t>
  </si>
  <si>
    <t>Xem lại phụ lục</t>
  </si>
  <si>
    <t>UI hiển thị</t>
  </si>
  <si>
    <t>Đã hoàn thành bước 1</t>
  </si>
  <si>
    <t>Hệ thống hiển thị thanh tiến trình với bước hiện tại là “Xem lại phụ lục bổ sung HĐ”</t>
  </si>
  <si>
    <t>1. Điều hướng sang bước 2
2. Quan sát thanh tiến trình</t>
  </si>
  <si>
    <t>Bước 2 được highlight
Bước 1 hiển thị dấu check</t>
  </si>
  <si>
    <t>Hiển thị tiêu đề trang</t>
  </si>
  <si>
    <t>Tiêu đề</t>
  </si>
  <si>
    <t>Đang ở bước 2</t>
  </si>
  <si>
    <t>Trang hiển thị tiêu đề “Xem lại phụ lục bổ sung HĐ”</t>
  </si>
  <si>
    <t>1. Mở bước 2</t>
  </si>
  <si>
    <t>Tiêu đề hiển thị đúng</t>
  </si>
  <si>
    <t>Hiển thị Số tiền bảo hiểm hiện tại</t>
  </si>
  <si>
    <t>Số tiền bảo hiểm</t>
  </si>
  <si>
    <t>Có dữ liệu hợp đồng chính</t>
  </si>
  <si>
    <t>“Số tiền bảo hiểm hiện tại” phải hiển thị đúng theo hợp đồng chính</t>
  </si>
  <si>
    <t>1. Sang bước 2
2. Quan sát field</t>
  </si>
  <si>
    <t>Hiển thị đúng giá trị từ hợp đồng chính</t>
  </si>
  <si>
    <t>Hiển thị giá trị điều chỉnh số tiền bảo hiểm</t>
  </si>
  <si>
    <t>Bước 1 đã nhập điều chỉnh</t>
  </si>
  <si>
    <t>“Số tiền bảo hiểm điều chỉnh” hiển thị đúng giá trị Tăng/Giảm</t>
  </si>
  <si>
    <t>1. Nhập điều chỉnh ở bước 1
2. Sang bước 2</t>
  </si>
  <si>
    <t>Hiển thị đúng giá trị điều chỉnh (âm hiển thị với dấu “–”)</t>
  </si>
  <si>
    <t>Tính “Số tiền bảo hiểm sau khi thay đổi”</t>
  </si>
  <si>
    <t>Tính toán</t>
  </si>
  <si>
    <t>Bước 1 đã hoàn tất nhập</t>
  </si>
  <si>
    <t>“Số tiền bảo hiểm sau khi thay đổi” = Số tiền hiện tại + Số tiền điều chỉnh</t>
  </si>
  <si>
    <t>1. Nhập 2.000.000.000 và -1.000.000.000 ở bước 1
2. Sang bước 2</t>
  </si>
  <si>
    <t>Hiển thị 1.900.000.000 theo công thức</t>
  </si>
  <si>
    <t>Hiển thị “Phí hiện tại (bao gồm VAT)”</t>
  </si>
  <si>
    <t>Phí bảo hiểm</t>
  </si>
  <si>
    <t>Có phí trong hợp đồng chính</t>
  </si>
  <si>
    <t>Field hiển thị đúng phí hiện tại = phí gốc + 10% VAT</t>
  </si>
  <si>
    <t>Hiển thị đúng giá trị tính theo hợp đồng</t>
  </si>
  <si>
    <t>Tính “Phí sau điều chỉnh (bao gồm VAT)”</t>
  </si>
  <si>
    <t>Bước 1 có thay đổi số tiền BH</t>
  </si>
  <si>
    <t>“Phí sau điều chỉnh” = (Số tiền BH sau điều chỉnh × Tỉ lệ phí mới) + 10% VAT</t>
  </si>
  <si>
    <t>1. Nhập giá trị ở bước 1
2. Sang bước 2</t>
  </si>
  <si>
    <t>Hiển thị đúng theo công thức</t>
  </si>
  <si>
    <t>Hiển thị “Phí đã thanh toán (bao gồm VAT)”</t>
  </si>
  <si>
    <t>Có dữ liệu thanh toán</t>
  </si>
  <si>
    <t>Field hiển thị đúng số tiền khách đã thanh toán</t>
  </si>
  <si>
    <t>Hiển thị đúng giá trị đã thanh toán</t>
  </si>
  <si>
    <t>Tính “Phí phải thanh toán còn lại (bao gồm VAT)”</t>
  </si>
  <si>
    <t>Có dữ liệu hợp lệ</t>
  </si>
  <si>
    <t>“Phí phải thanh toán còn lại” = Phí sau điều chỉnh – Phí đã thanh toán</t>
  </si>
  <si>
    <t>1. Quan sát “Phí sau điều chỉnh” và “Phí đã thanh toán”
2. So sánh với field cuối</t>
  </si>
  <si>
    <t>Hiển thị đúng kết quả theo công thức</t>
  </si>
  <si>
    <t>Nút “Gửi lãnh đạo duyệt” hoạt động đúng</t>
  </si>
  <si>
    <t>Submit</t>
  </si>
  <si>
    <t>Bước 2 hiển thị đầy đủ</t>
  </si>
  <si>
    <t>Cho phép user gửi duyệt phụ lục</t>
  </si>
  <si>
    <t>1. Nhấn “Gửi lãnh đạo duyệt”</t>
  </si>
  <si>
    <r>
      <t xml:space="preserve">Hiển thị </t>
    </r>
    <r>
      <rPr>
        <b/>
        <sz val="11"/>
        <color theme="1"/>
        <rFont val="Aptos Narrow"/>
        <family val="2"/>
        <scheme val="minor"/>
      </rPr>
      <t>SM2 – Hợp đồng đã được gửi xét duyệt thành công.</t>
    </r>
  </si>
  <si>
    <t>Nút “Quay lại” điều hướng chính xác</t>
  </si>
  <si>
    <t>Cho phép quay lại bước 1 để chỉnh sửa</t>
  </si>
  <si>
    <t>1. Nhấn “Quay lại”</t>
  </si>
  <si>
    <t>Điều hướng về Bước 1 – Thông tin bổ sung</t>
  </si>
  <si>
    <t>Tính và hiển thị Phí bảo hiểm bổ sung theo công thức</t>
  </si>
  <si>
    <t>Tính phí bổ sung</t>
  </si>
  <si>
    <t>Có Số tiền bảo hiểm sau khi thay đổi, Tỉ lệ phí mới, Ngày bắt đầu PLHĐ &amp; Ngày kết thúc HĐ chính</t>
  </si>
  <si>
    <t>Công thức: Phí bổ sung = Số tiền bảo hiểm sau khi thay đổi × Tỉ lệ mới × (Số ngày/365)</t>
  </si>
  <si>
    <t>1. Sử dụng ví dụ: Số tiền sau thay đổi = 2.100.000.000; Tỉ lệ = 0.47; Số ngày = 365.2. Mở Bước 2 để quan sát Phí bảo hiểm bổ sung</t>
  </si>
  <si>
    <r>
      <t xml:space="preserve">Hệ thống hiển thị </t>
    </r>
    <r>
      <rPr>
        <b/>
        <sz val="11"/>
        <color theme="1"/>
        <rFont val="Aptos Narrow"/>
        <family val="2"/>
        <scheme val="minor"/>
      </rPr>
      <t>Phí bảo hiểm bổ sung = 987.000.000 VND</t>
    </r>
    <r>
      <rPr>
        <sz val="11"/>
        <color theme="1"/>
        <rFont val="Aptos Narrow"/>
        <family val="2"/>
        <scheme val="minor"/>
      </rPr>
      <t xml:space="preserve"> (định dạng tiền chuẩn, theo công thức: 2.100.000.000 × 0.47 × (365/365))</t>
    </r>
  </si>
  <si>
    <t>Tính và hiển thị Thuế 10% trên phí bổ sung</t>
  </si>
  <si>
    <t>Tính thuế</t>
  </si>
  <si>
    <t>Có Phí bảo hiểm bổ sung</t>
  </si>
  <si>
    <t>Công thức: Thuế 10% = 10% × Phí bảo hiểm bổ sung</t>
  </si>
  <si>
    <t>1. Phí bổ sung = 987.000.0002. Quan sát field Thuế 10%</t>
  </si>
  <si>
    <r>
      <t xml:space="preserve">Hệ thống hiển thị </t>
    </r>
    <r>
      <rPr>
        <b/>
        <sz val="11"/>
        <color theme="1"/>
        <rFont val="Aptos Narrow"/>
        <family val="2"/>
        <scheme val="minor"/>
      </rPr>
      <t>Thuế 10% = 98.700.000 VND</t>
    </r>
    <r>
      <rPr>
        <sz val="11"/>
        <color theme="1"/>
        <rFont val="Aptos Narrow"/>
        <family val="2"/>
        <scheme val="minor"/>
      </rPr>
      <t xml:space="preserve"> (10% × 987.000.000)</t>
    </r>
  </si>
  <si>
    <t>Tính và hiển thị Tổng phí thanh toán</t>
  </si>
  <si>
    <t>Tính tổng phí</t>
  </si>
  <si>
    <t>Có Phí bổ sung và Thuế</t>
  </si>
  <si>
    <t>Công thức: Tổng phí thanh toán = Phí bổ sung + Thuế</t>
  </si>
  <si>
    <t>1. Phí bổ sung = 987.000.000; Thuế = 98.700.0002. Quan sát field Tổng phí thanh toán</t>
  </si>
  <si>
    <r>
      <t xml:space="preserve">Hệ thống hiển thị </t>
    </r>
    <r>
      <rPr>
        <b/>
        <sz val="11"/>
        <color theme="1"/>
        <rFont val="Aptos Narrow"/>
        <family val="2"/>
        <scheme val="minor"/>
      </rPr>
      <t>Tổng phí thanh toán = 1.085.700.000 VND</t>
    </r>
    <r>
      <rPr>
        <sz val="11"/>
        <color theme="1"/>
        <rFont val="Aptos Narrow"/>
        <family val="2"/>
        <scheme val="minor"/>
      </rPr>
      <t xml:space="preserve"> (định dạng tiền chuẩn, theo công thức 987.000.000 + 98.700.000)</t>
    </r>
  </si>
  <si>
    <t>Hiển thị Thời hạn thanh toán</t>
  </si>
  <si>
    <t>Thời hạn thanh toán</t>
  </si>
  <si>
    <t>Có Ngày bắt đầu hiệu lực PLHĐ</t>
  </si>
  <si>
    <t>Công thức: Thời hạn thanh toán = Ngày bắt đầu + 30 ngày</t>
  </si>
  <si>
    <t>1. Giả sử ngày bắt đầu = 14/11/20252. Quan sát field Thời hạn thanh toán</t>
  </si>
  <si>
    <r>
      <t xml:space="preserve">Hệ thống hiển thị </t>
    </r>
    <r>
      <rPr>
        <b/>
        <sz val="11"/>
        <color theme="1"/>
        <rFont val="Aptos Narrow"/>
        <family val="2"/>
        <scheme val="minor"/>
      </rPr>
      <t>Thời hạn thanh toán = 14/12/2025</t>
    </r>
    <r>
      <rPr>
        <sz val="11"/>
        <color theme="1"/>
        <rFont val="Aptos Narrow"/>
        <family val="2"/>
        <scheme val="minor"/>
      </rPr>
      <t xml:space="preserve"> (định dạng dd/mm/yyyy, theo công thức ngày bắt đầu + 30 ngày)</t>
    </r>
  </si>
  <si>
    <t>Làm tròn &amp; định dạng tiền</t>
  </si>
  <si>
    <t>Hiển thị tiền</t>
  </si>
  <si>
    <t>Có kết quả tính toán phát sinh phần thập phân</t>
  </si>
  <si>
    <t>Hệ thống phải làm tròn về VND theo quy tắc hệ thống</t>
  </si>
  <si>
    <t>1. Ví dụ hệ thống tính ra 1.085.700.123,452. Quan sát hiển thị</t>
  </si>
  <si>
    <r>
      <rPr>
        <sz val="11"/>
        <color rgb="FF000000"/>
        <rFont val="Aptos Narrow"/>
        <scheme val="minor"/>
      </rPr>
      <t xml:space="preserve">Hệ thống hiển thị </t>
    </r>
    <r>
      <rPr>
        <b/>
        <sz val="11"/>
        <color rgb="FF000000"/>
        <rFont val="Aptos Narrow"/>
        <scheme val="minor"/>
      </rPr>
      <t>1.085.700.123 VND</t>
    </r>
    <r>
      <rPr>
        <sz val="11"/>
        <color rgb="FF000000"/>
        <rFont val="Aptos Narrow"/>
        <scheme val="minor"/>
      </rPr>
      <t xml:space="preserve"> (đã làm tròn và có dấu phân nghìn); Nếu có quy tắc khác như làm tròn lên hoặc xuống, QA cần xác nhận theo spec</t>
    </r>
  </si>
  <si>
    <t>Trường hợp số ngày = 0</t>
  </si>
  <si>
    <t>Ngày bắt đầu = ngày kết thúc</t>
  </si>
  <si>
    <t>Khi số ngày = 0 thì phí bổ sung = 0</t>
  </si>
  <si>
    <t>1. Set ngày bắt đầu = 14/11/2025; ngày kết thúc = 14/11/20252. Quan sát giá trị tính toán</t>
  </si>
  <si>
    <r>
      <rPr>
        <sz val="11"/>
        <color rgb="FF000000"/>
        <rFont val="Aptos Narrow"/>
        <scheme val="minor"/>
      </rPr>
      <t xml:space="preserve">Hệ thống hiển thị </t>
    </r>
    <r>
      <rPr>
        <b/>
        <sz val="11"/>
        <color rgb="FF000000"/>
        <rFont val="Aptos Narrow"/>
        <scheme val="minor"/>
      </rPr>
      <t>Phí bổ sung = 0</t>
    </r>
    <r>
      <rPr>
        <sz val="11"/>
        <color rgb="FF000000"/>
        <rFont val="Aptos Narrow"/>
        <scheme val="minor"/>
      </rPr>
      <t xml:space="preserve">, </t>
    </r>
    <r>
      <rPr>
        <b/>
        <sz val="11"/>
        <color rgb="FF000000"/>
        <rFont val="Aptos Narrow"/>
        <scheme val="minor"/>
      </rPr>
      <t>Thuế = 0</t>
    </r>
    <r>
      <rPr>
        <sz val="11"/>
        <color rgb="FF000000"/>
        <rFont val="Aptos Narrow"/>
        <scheme val="minor"/>
      </rPr>
      <t xml:space="preserve">, </t>
    </r>
    <r>
      <rPr>
        <b/>
        <sz val="11"/>
        <color rgb="FF000000"/>
        <rFont val="Aptos Narrow"/>
        <scheme val="minor"/>
      </rPr>
      <t>Tổng phí = 0</t>
    </r>
    <r>
      <rPr>
        <sz val="11"/>
        <color rgb="FF000000"/>
        <rFont val="Aptos Narrow"/>
        <scheme val="minor"/>
      </rPr>
      <t xml:space="preserve"> trong đúng </t>
    </r>
    <r>
      <rPr>
        <i/>
        <sz val="11"/>
        <color rgb="FF000000"/>
        <rFont val="Aptos Narrow"/>
        <scheme val="minor"/>
      </rPr>
      <t>một dòng</t>
    </r>
    <r>
      <rPr>
        <sz val="11"/>
        <color rgb="FF000000"/>
        <rFont val="Aptos Narrow"/>
        <scheme val="minor"/>
      </rPr>
      <t xml:space="preserve"> (nếu hệ thống không cho phép số ngày = 0 → phải hiển thị lỗi IEM13)</t>
    </r>
  </si>
  <si>
    <t>Trường hợp số tiền điều chỉnh âm (hoàn tiền)</t>
  </si>
  <si>
    <t>Tính hoàn tiền</t>
  </si>
  <si>
    <t>Số tiền điều chỉnh &lt; 0</t>
  </si>
  <si>
    <t>Kiểm tra hiển thị khi giá trị cho kết quả âm hoặc hoàn trả</t>
  </si>
  <si>
    <t>1. Ví dụ: điều chỉnh = -1.000.000.000; tỷ lệ = 0.02; số ngày = 3652. Quan sát kết quả</t>
  </si>
  <si>
    <r>
      <rPr>
        <sz val="11"/>
        <color rgb="FF000000"/>
        <rFont val="Aptos Narrow"/>
        <scheme val="minor"/>
      </rPr>
      <t xml:space="preserve">Hệ thống hiển thị </t>
    </r>
    <r>
      <rPr>
        <b/>
        <sz val="11"/>
        <color rgb="FF000000"/>
        <rFont val="Aptos Narrow"/>
        <scheme val="minor"/>
      </rPr>
      <t>Tổng phí hoàn trả hoặc âm</t>
    </r>
    <r>
      <rPr>
        <sz val="11"/>
        <color rgb="FF000000"/>
        <rFont val="Aptos Narrow"/>
        <scheme val="minor"/>
      </rPr>
      <t xml:space="preserve"> theo đúng công thức (hiển thị dạng “-22.000.000 VND” hoặc “Hoàn trả 22.000.000 VND” </t>
    </r>
  </si>
  <si>
    <t>Validate khi thiếu dữ liệu tính phí</t>
  </si>
  <si>
    <t>Validation</t>
  </si>
  <si>
    <t>Thiếu Số tiền sau thay đổi hoặc Tỉ lệ phí mới hoặc Ngày bắt đầu &gt; Ngày kết thúc</t>
  </si>
  <si>
    <t>Hệ thống phải hiển thị lỗi đúng mã lỗi</t>
  </si>
  <si>
    <t>1. Bỏ trống Tỉ lệ phí mới hoặc Số tiền sau thay đổi hoặc nhập ngày không hợp lệ2. Quan sát</t>
  </si>
  <si>
    <r>
      <rPr>
        <sz val="11"/>
        <color rgb="FF000000"/>
        <rFont val="Aptos Narrow"/>
        <scheme val="minor"/>
      </rPr>
      <t xml:space="preserve">Hệ thống hiển thị lỗi </t>
    </r>
    <r>
      <rPr>
        <b/>
        <sz val="11"/>
        <color rgb="FF000000"/>
        <rFont val="Aptos Narrow"/>
        <scheme val="minor"/>
      </rPr>
      <t>IEM1</t>
    </r>
    <r>
      <rPr>
        <sz val="11"/>
        <color rgb="FF000000"/>
        <rFont val="Aptos Narrow"/>
        <scheme val="minor"/>
      </rPr>
      <t xml:space="preserve"> (bắt buộc) hoặc </t>
    </r>
    <r>
      <rPr>
        <b/>
        <sz val="11"/>
        <color rgb="FF000000"/>
        <rFont val="Aptos Narrow"/>
        <scheme val="minor"/>
      </rPr>
      <t>IEM13</t>
    </r>
    <r>
      <rPr>
        <sz val="11"/>
        <color rgb="FF000000"/>
        <rFont val="Aptos Narrow"/>
        <scheme val="minor"/>
      </rPr>
      <t xml:space="preserve"> (ngày không hợp lệ) hoặc </t>
    </r>
    <r>
      <rPr>
        <b/>
        <sz val="11"/>
        <color rgb="FF000000"/>
        <rFont val="Aptos Narrow"/>
        <scheme val="minor"/>
      </rPr>
      <t>IEM17</t>
    </r>
    <r>
      <rPr>
        <sz val="11"/>
        <color rgb="FF000000"/>
        <rFont val="Aptos Narrow"/>
        <scheme val="minor"/>
      </rPr>
      <t xml:space="preserve"> (giá trị ≤ 0)</t>
    </r>
  </si>
  <si>
    <t>Là Admin, tôi muốn truy cập Bảng điều khiển</t>
  </si>
  <si>
    <t>Dashboard</t>
  </si>
  <si>
    <t>Đã đăng nhập hệ thống</t>
  </si>
  <si>
    <t>Kiểm tra truy cập Dashboard</t>
  </si>
  <si>
    <r>
      <t xml:space="preserve">1. Tại menu trái chọn </t>
    </r>
    <r>
      <rPr>
        <b/>
        <sz val="11"/>
        <color theme="1"/>
        <rFont val="Aptos Narrow"/>
        <family val="2"/>
        <scheme val="minor"/>
      </rPr>
      <t>Bảng điều khiển</t>
    </r>
  </si>
  <si>
    <t>Màn hình Dashboard hiển thị đúng giao diện</t>
  </si>
  <si>
    <t>Là Admin, tôi muốn xem lời chào cá nhân hóa</t>
  </si>
  <si>
    <t>Hiển thị thông tin</t>
  </si>
  <si>
    <t>Đã đăng nhập</t>
  </si>
  <si>
    <t>Kiểm tra header chào mừng</t>
  </si>
  <si>
    <t>1. Truy cập Dashboard</t>
  </si>
  <si>
    <t>Hiển thị “Chào mừng trở lại, &lt;Tên user&gt;”</t>
  </si>
  <si>
    <t>Là Admin, tôi muốn tìm kiếm nhanh hợp đồng</t>
  </si>
  <si>
    <t>Tìm kiếm nhanh</t>
  </si>
  <si>
    <t>Có dữ liệu hợp đồng</t>
  </si>
  <si>
    <t>Tìm theo từ khóa</t>
  </si>
  <si>
    <r>
      <t xml:space="preserve">1. Nhập từ khóa vào ô </t>
    </r>
    <r>
      <rPr>
        <b/>
        <sz val="11"/>
        <color theme="1"/>
        <rFont val="Aptos Narrow"/>
        <family val="2"/>
        <scheme val="minor"/>
      </rPr>
      <t>Tìm kiếm hợp đồng</t>
    </r>
  </si>
  <si>
    <t>Danh sách gợi ý/ kết quả đúng từ khóa</t>
  </si>
  <si>
    <t>Là Admin, tôi muốn tìm theo địa điểm</t>
  </si>
  <si>
    <t>Có hợp đồng theo địa điểm</t>
  </si>
  <si>
    <t>Tìm theo địa điểm</t>
  </si>
  <si>
    <t>1. Nhập tên địa điểm</t>
  </si>
  <si>
    <t>Kết quả trả về đúng địa điểm</t>
  </si>
  <si>
    <t>Là Admin, tôi muốn tìm hợp đồng không tồn tại</t>
  </si>
  <si>
    <t>Không có dữ liệu phù hợp</t>
  </si>
  <si>
    <t>Case không có kết quả</t>
  </si>
  <si>
    <t>1. Nhập từ khóa không tồn tại</t>
  </si>
  <si>
    <t>Hiển thị trạng thái không có kết quả</t>
  </si>
  <si>
    <t>Là Admin, tôi muốn xem danh sách hợp đồng</t>
  </si>
  <si>
    <t>Có quyền truy cập</t>
  </si>
  <si>
    <t>Điều hướng sang danh sách</t>
  </si>
  <si>
    <r>
      <t xml:space="preserve">1. Nhấn </t>
    </r>
    <r>
      <rPr>
        <b/>
        <sz val="11"/>
        <color theme="1"/>
        <rFont val="Aptos Narrow"/>
        <family val="2"/>
        <scheme val="minor"/>
      </rPr>
      <t>Xem danh sách hợp đồng bảo hiểm</t>
    </r>
  </si>
  <si>
    <t>Chuyển sang màn hình Quản lý HĐBH</t>
  </si>
  <si>
    <t>Là Admin, tôi muốn tạo mới hồ sơ</t>
  </si>
  <si>
    <t>Tạo hồ sơ</t>
  </si>
  <si>
    <t>Có quyền cấp đơn</t>
  </si>
  <si>
    <t>Bắt đầu quy trình cấp đơn</t>
  </si>
  <si>
    <r>
      <t xml:space="preserve">1. Nhấn </t>
    </r>
    <r>
      <rPr>
        <b/>
        <sz val="11"/>
        <color theme="1"/>
        <rFont val="Aptos Narrow"/>
        <family val="2"/>
        <scheme val="minor"/>
      </rPr>
      <t>+ Tạo hồ sơ bảo hiểm</t>
    </r>
  </si>
  <si>
    <t>Chuyển sang Bước 1 – Thông tin cơ bản</t>
  </si>
  <si>
    <t>Là Admin, tôi muốn theo dõi hợp đồng sắp hết hạn</t>
  </si>
  <si>
    <t>Theo dõi</t>
  </si>
  <si>
    <t>Có hợp đồng sắp hết hạn</t>
  </si>
  <si>
    <t>Kiểm tra bảng hợp đồng sắp hết hạn</t>
  </si>
  <si>
    <t>1. Quan sát bảng bên dưới</t>
  </si>
  <si>
    <t>Hiển thị danh sách hợp đồng sắp hết hạn</t>
  </si>
  <si>
    <t>Là Admin, tôi muốn xem thông tin từng dòng</t>
  </si>
  <si>
    <t>Có dữ liệu</t>
  </si>
  <si>
    <t>Kiểm tra thông tin cột</t>
  </si>
  <si>
    <t>1. Quan sát từng dòng</t>
  </si>
  <si>
    <t>Hiển thị đúng Địa điểm, Loại BH, Ngày hết hạn</t>
  </si>
  <si>
    <t>Là Admin, tôi muốn xem người được phân công</t>
  </si>
  <si>
    <t>Phân công</t>
  </si>
  <si>
    <t>Có dữ liệu phân công</t>
  </si>
  <si>
    <t>Kiểm tra cột phân công</t>
  </si>
  <si>
    <r>
      <t xml:space="preserve">1. Quan sát cột </t>
    </r>
    <r>
      <rPr>
        <b/>
        <sz val="11"/>
        <color theme="1"/>
        <rFont val="Aptos Narrow"/>
        <family val="2"/>
        <scheme val="minor"/>
      </rPr>
      <t>Phân công</t>
    </r>
  </si>
  <si>
    <t>Hiển thị đúng tên người phụ trách</t>
  </si>
  <si>
    <t>Là Admin, tôi muốn chỉnh sửa phân công</t>
  </si>
  <si>
    <t>Có quyền chỉnh sửa</t>
  </si>
  <si>
    <t>Thay đổi người phụ trách</t>
  </si>
  <si>
    <r>
      <rPr>
        <sz val="11"/>
        <color rgb="FF000000"/>
        <rFont val="Aptos Narrow"/>
        <scheme val="minor"/>
      </rPr>
      <t xml:space="preserve">1. Nhấn icon </t>
    </r>
    <r>
      <rPr>
        <b/>
        <sz val="11"/>
        <color rgb="FF000000"/>
        <rFont val="Aptos Narrow"/>
        <scheme val="minor"/>
      </rPr>
      <t>Bút chì</t>
    </r>
    <r>
      <rPr>
        <sz val="11"/>
        <color rgb="FF000000"/>
        <rFont val="Aptos Narrow"/>
        <scheme val="minor"/>
      </rPr>
      <t>; 
2. Chọn người khác</t>
    </r>
  </si>
  <si>
    <t>Phân công được cập nhật thành công</t>
  </si>
  <si>
    <t>Là Admin, tôi muốn xoá phân công</t>
  </si>
  <si>
    <t>Có người được gán</t>
  </si>
  <si>
    <t>Xoá người phụ trách</t>
  </si>
  <si>
    <r>
      <t xml:space="preserve">1. Nhấn biểu tượng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trong ô phân công</t>
    </r>
  </si>
  <si>
    <t>Người phụ trách bị xoá</t>
  </si>
  <si>
    <t>Là Admin, tôi muốn xác định công việc đã hoàn thành</t>
  </si>
  <si>
    <t>Trạng thái</t>
  </si>
  <si>
    <t>Công việc hoàn tất</t>
  </si>
  <si>
    <t>Kiểm tra trạng thái hoàn thành</t>
  </si>
  <si>
    <r>
      <t xml:space="preserve">1. Quan sát cột </t>
    </r>
    <r>
      <rPr>
        <b/>
        <sz val="11"/>
        <color theme="1"/>
        <rFont val="Aptos Narrow"/>
        <family val="2"/>
        <scheme val="minor"/>
      </rPr>
      <t>Hoàn thành</t>
    </r>
  </si>
  <si>
    <t>Hiển thị icon tick màu cam</t>
  </si>
  <si>
    <t>Là Admin, tôi muốn hệ thống tự sắp xếp theo ngày</t>
  </si>
  <si>
    <t>UX</t>
  </si>
  <si>
    <t>Có nhiều ngày hết hạn</t>
  </si>
  <si>
    <t>Kiểm tra thứ tự mặc định</t>
  </si>
  <si>
    <t>Danh sách ưu tiên hợp đồng sắp hết hạn</t>
  </si>
  <si>
    <t>Là Admin, tôi muốn kiểm soát quyền chỉnh sửa</t>
  </si>
  <si>
    <t>User không có quyền</t>
  </si>
  <si>
    <t>Kiểm tra phân quyền</t>
  </si>
  <si>
    <t>1. Đăng nhập user hạn chế</t>
  </si>
  <si>
    <t>Không hiển thị icon bút chì</t>
  </si>
  <si>
    <t>Là Admin, tôi muốn đảm bảo hiệu năng</t>
  </si>
  <si>
    <t>Hiệu năng</t>
  </si>
  <si>
    <t>Nhiều dữ liệu</t>
  </si>
  <si>
    <t>Load Dashboard</t>
  </si>
  <si>
    <t>Màn hình tải không treo</t>
  </si>
  <si>
    <t>Là Admin, tôi muốn giữ dữ liệu khi refresh</t>
  </si>
  <si>
    <t>Trạng thái UI</t>
  </si>
  <si>
    <t>Đã tìm kiếm</t>
  </si>
  <si>
    <t>Refresh trang</t>
  </si>
  <si>
    <t>1. Nhấn F5</t>
  </si>
  <si>
    <t>Hệ thống reset về trạng thái mặc định</t>
  </si>
  <si>
    <t>Là Admin, tôi muốn tránh nhập ký tự nguy hiểm</t>
  </si>
  <si>
    <t>Có ô tìm kiếm</t>
  </si>
  <si>
    <t>Nhập ký tự đặc biệt</t>
  </si>
  <si>
    <t>1. Nhập &lt;script&gt;</t>
  </si>
  <si>
    <t>Hệ thống không lỗi, không execute</t>
  </si>
  <si>
    <t xml:space="preserve">Trang List Hợp đồng Bảo hiểm </t>
  </si>
  <si>
    <t>Là Admin, tôi muốn truy cập danh sách HĐBH</t>
  </si>
  <si>
    <t>Quản lý HĐBH</t>
  </si>
  <si>
    <t>Truy cập danh sách</t>
  </si>
  <si>
    <t>Kiểm tra hiển thị danh sách hợp đồng</t>
  </si>
  <si>
    <r>
      <rPr>
        <sz val="11"/>
        <color rgb="FF000000"/>
        <rFont val="Aptos Narrow"/>
        <scheme val="minor"/>
      </rPr>
      <t xml:space="preserve">1. Vào menu </t>
    </r>
    <r>
      <rPr>
        <b/>
        <sz val="11"/>
        <color rgb="FF000000"/>
        <rFont val="Aptos Narrow"/>
        <scheme val="minor"/>
      </rPr>
      <t>Cấp đơn</t>
    </r>
    <r>
      <rPr>
        <sz val="11"/>
        <color rgb="FF000000"/>
        <rFont val="Aptos Narrow"/>
        <scheme val="minor"/>
      </rPr>
      <t xml:space="preserve">; 
2. Chọn </t>
    </r>
    <r>
      <rPr>
        <b/>
        <sz val="11"/>
        <color rgb="FF000000"/>
        <rFont val="Aptos Narrow"/>
        <scheme val="minor"/>
      </rPr>
      <t>Quản lý HĐBH</t>
    </r>
  </si>
  <si>
    <t>Hiển thị bảng danh sách HĐBH đúng dữ liệu</t>
  </si>
  <si>
    <t>Là Admin, tôi muốn xem toàn bộ trạng thái</t>
  </si>
  <si>
    <t>Lọc trạng thái</t>
  </si>
  <si>
    <t>Có dữ liệu nhiều trạng thái</t>
  </si>
  <si>
    <t>Kiểm tra filter mặc định</t>
  </si>
  <si>
    <t>1. Truy cập màn hình; 
2. Quan sát bộ lọc trạng thái</t>
  </si>
  <si>
    <r>
      <t xml:space="preserve">Mặc định hiển thị </t>
    </r>
    <r>
      <rPr>
        <b/>
        <sz val="11"/>
        <color theme="1"/>
        <rFont val="Aptos Narrow"/>
        <family val="2"/>
        <scheme val="minor"/>
      </rPr>
      <t>Tất cả trạng thái</t>
    </r>
  </si>
  <si>
    <t>Là Admin, tôi muốn lọc theo trạng thái</t>
  </si>
  <si>
    <t>Có hồ sơ nhiều trạng thái</t>
  </si>
  <si>
    <t>Lọc hồ sơ theo trạng thái cụ thể</t>
  </si>
  <si>
    <t>1. Click dropdown trạng thái;
 2. Chọn “Bản nháp”</t>
  </si>
  <si>
    <r>
      <t xml:space="preserve">Danh sách chỉ còn hồ sơ </t>
    </r>
    <r>
      <rPr>
        <b/>
        <sz val="11"/>
        <color theme="1"/>
        <rFont val="Aptos Narrow"/>
        <family val="2"/>
        <scheme val="minor"/>
      </rPr>
      <t>Bản nháp</t>
    </r>
  </si>
  <si>
    <t>Là Admin, tôi muốn tìm hồ sơ nhanh</t>
  </si>
  <si>
    <t>Có dữ liệu phù hợp</t>
  </si>
  <si>
    <t>1. Nhập “VINHOMES” vào ô tìm kiếm</t>
  </si>
  <si>
    <t>Hiển thị các hồ sơ chứa từ khóa</t>
  </si>
  <si>
    <t>Là Admin, tôi muốn tìm hồ sơ không tồn tại</t>
  </si>
  <si>
    <t>Kiểm tra empty state</t>
  </si>
  <si>
    <t>Hiển thị trạng thái “Không có dữ liệu”</t>
  </si>
  <si>
    <t>Là Admin, tôi muốn sắp xếp theo số tiền BH</t>
  </si>
  <si>
    <t>Có nhiều giá trị khác nhau</t>
  </si>
  <si>
    <t>Sort tăng dần</t>
  </si>
  <si>
    <r>
      <t xml:space="preserve">1. Click cột </t>
    </r>
    <r>
      <rPr>
        <b/>
        <sz val="11"/>
        <color theme="1"/>
        <rFont val="Aptos Narrow"/>
        <family val="2"/>
        <scheme val="minor"/>
      </rPr>
      <t>Số tiền BH (VND)</t>
    </r>
  </si>
  <si>
    <t>Danh sách sắp xếp tăng dần</t>
  </si>
  <si>
    <t>Là Admin, tôi muốn đảo chiều sắp xếp</t>
  </si>
  <si>
    <t>Đã sort tăng dần</t>
  </si>
  <si>
    <t>Sort giảm dần</t>
  </si>
  <si>
    <r>
      <t xml:space="preserve">1. Click lại cột </t>
    </r>
    <r>
      <rPr>
        <b/>
        <sz val="11"/>
        <color theme="1"/>
        <rFont val="Aptos Narrow"/>
        <family val="2"/>
        <scheme val="minor"/>
      </rPr>
      <t>Số tiền BH</t>
    </r>
  </si>
  <si>
    <t>Danh sách sắp xếp giảm dần</t>
  </si>
  <si>
    <t>Là Admin, tôi muốn sắp xếp theo ngày</t>
  </si>
  <si>
    <t>Có nhiều ngày khác nhau</t>
  </si>
  <si>
    <t>Sort theo ngày hiệu lực</t>
  </si>
  <si>
    <r>
      <t xml:space="preserve">1. Click cột </t>
    </r>
    <r>
      <rPr>
        <b/>
        <sz val="11"/>
        <color theme="1"/>
        <rFont val="Aptos Narrow"/>
        <family val="2"/>
        <scheme val="minor"/>
      </rPr>
      <t>Ngày bắt đầu hiệu lực</t>
    </r>
  </si>
  <si>
    <t>Danh sách sắp xếp đúng theo ngày</t>
  </si>
  <si>
    <t>Là Admin, tôi muốn xem chi tiết hồ sơ</t>
  </si>
  <si>
    <t>Xem chi tiết</t>
  </si>
  <si>
    <t>Hồ sơ tồn tại</t>
  </si>
  <si>
    <t>Xem chế độ read-only</t>
  </si>
  <si>
    <r>
      <t xml:space="preserve">1. Click icon </t>
    </r>
    <r>
      <rPr>
        <b/>
        <sz val="11"/>
        <color theme="1"/>
        <rFont val="Aptos Narrow"/>
        <family val="2"/>
        <scheme val="minor"/>
      </rPr>
      <t>Con mắt</t>
    </r>
  </si>
  <si>
    <t>Mở màn hình chi tiết, không cho chỉnh sửa</t>
  </si>
  <si>
    <t>Là Admin, tôi muốn chỉnh sửa hồ sơ nháp</t>
  </si>
  <si>
    <r>
      <t xml:space="preserve">Hồ sơ trạng thái </t>
    </r>
    <r>
      <rPr>
        <b/>
        <sz val="11"/>
        <color theme="1"/>
        <rFont val="Aptos Narrow"/>
        <family val="2"/>
        <scheme val="minor"/>
      </rPr>
      <t>Bản nháp</t>
    </r>
  </si>
  <si>
    <t>Kiểm tra quyền chỉnh sửa</t>
  </si>
  <si>
    <r>
      <t xml:space="preserve">1. Click icon </t>
    </r>
    <r>
      <rPr>
        <b/>
        <sz val="11"/>
        <color theme="1"/>
        <rFont val="Aptos Narrow"/>
        <family val="2"/>
        <scheme val="minor"/>
      </rPr>
      <t>Bút chì</t>
    </r>
  </si>
  <si>
    <t>Mở quy trình chỉnh sửa hồ sơ</t>
  </si>
  <si>
    <t>Là Admin, tôi không muốn sửa hồ sơ đã duyệt</t>
  </si>
  <si>
    <t>Hồ sơ đã duyệt</t>
  </si>
  <si>
    <t>Chặn chỉnh sửa</t>
  </si>
  <si>
    <t>1. Quan sát icon bút chì</t>
  </si>
  <si>
    <t>Không hiển thị icon chỉnh sửa</t>
  </si>
  <si>
    <t>Là Admin, tôi muốn xuất dữ liệu</t>
  </si>
  <si>
    <t>Xuất dữ liệu</t>
  </si>
  <si>
    <t>Mở popup xuất Excel</t>
  </si>
  <si>
    <r>
      <t xml:space="preserve">1. Click </t>
    </r>
    <r>
      <rPr>
        <b/>
        <sz val="11"/>
        <color theme="1"/>
        <rFont val="Aptos Narrow"/>
        <family val="2"/>
        <scheme val="minor"/>
      </rPr>
      <t>Xuất dữ liệu</t>
    </r>
  </si>
  <si>
    <t>Hiển thị popup lọc dữ liệu</t>
  </si>
  <si>
    <t>Là Admin, tôi muốn xuất toàn bộ</t>
  </si>
  <si>
    <t>Không chọn filter</t>
  </si>
  <si>
    <t>Xuất full</t>
  </si>
  <si>
    <r>
      <rPr>
        <sz val="11"/>
        <color rgb="FF000000"/>
        <rFont val="Aptos Narrow"/>
        <scheme val="minor"/>
      </rPr>
      <t xml:space="preserve">1. Giữ mặc định; 
2. Click </t>
    </r>
    <r>
      <rPr>
        <b/>
        <sz val="11"/>
        <color rgb="FF000000"/>
        <rFont val="Aptos Narrow"/>
        <scheme val="minor"/>
      </rPr>
      <t>Xuất dữ liệu</t>
    </r>
  </si>
  <si>
    <t>File Excel chứa toàn bộ danh sách</t>
  </si>
  <si>
    <t>Là Admin, tôi muốn xuất theo trạng thái</t>
  </si>
  <si>
    <t>Có nhiều trạng thái</t>
  </si>
  <si>
    <t>Filter theo trạng thái</t>
  </si>
  <si>
    <t>1. Chọn “Đã lưu bản cứng HĐ”; 
2. Xuất</t>
  </si>
  <si>
    <t>File Excel chỉ chứa hồ sơ đúng trạng thái</t>
  </si>
  <si>
    <t>Là Admin, tôi muốn xuất theo năm</t>
  </si>
  <si>
    <t>Có dữ liệu nhiều năm</t>
  </si>
  <si>
    <t>Filter theo năm</t>
  </si>
  <si>
    <t>1. Chọn năm 2025;
 2. Xuất</t>
  </si>
  <si>
    <t>File chỉ chứa hồ sơ năm 2025</t>
  </si>
  <si>
    <t>Là Admin, tôi muốn xuất theo loại BH</t>
  </si>
  <si>
    <t>Có nhiều loại BH</t>
  </si>
  <si>
    <t>Filter theo loại BH</t>
  </si>
  <si>
    <r>
      <rPr>
        <sz val="11"/>
        <color rgb="FF000000"/>
        <rFont val="Aptos Narrow"/>
        <scheme val="minor"/>
      </rPr>
      <t xml:space="preserve">1. Chọn </t>
    </r>
    <r>
      <rPr>
        <b/>
        <sz val="11"/>
        <color rgb="FF000000"/>
        <rFont val="Aptos Narrow"/>
        <scheme val="minor"/>
      </rPr>
      <t>BH MRTTS</t>
    </r>
    <r>
      <rPr>
        <sz val="11"/>
        <color rgb="FF000000"/>
        <rFont val="Aptos Narrow"/>
        <scheme val="minor"/>
      </rPr>
      <t>; 
2. Xuất</t>
    </r>
  </si>
  <si>
    <t>File chỉ chứa đúng loại BH</t>
  </si>
  <si>
    <t>Là Admin, tôi muốn đóng popup</t>
  </si>
  <si>
    <t>Popup đang mở</t>
  </si>
  <si>
    <r>
      <t xml:space="preserve">1. Click </t>
    </r>
    <r>
      <rPr>
        <b/>
        <sz val="11"/>
        <color theme="1"/>
        <rFont val="Aptos Narrow"/>
        <family val="2"/>
        <scheme val="minor"/>
      </rPr>
      <t>Đóng</t>
    </r>
  </si>
  <si>
    <t>Popup đóng, không thay đổi dữ liệu</t>
  </si>
  <si>
    <t>Là Admin, tôi muốn kết hợp nhiều filter</t>
  </si>
  <si>
    <t>Filter nâng cao</t>
  </si>
  <si>
    <t>1. Chọn Trạng thái + Năm + Loại BH</t>
  </si>
  <si>
    <t>File Excel đúng theo tất cả điều kiện</t>
  </si>
  <si>
    <t>Là Admin, tôi muốn hệ thống xử lý dữ liệu lớn</t>
  </si>
  <si>
    <t>&gt;5000 hồ sơ</t>
  </si>
  <si>
    <t>Kiểm tra hiệu năng</t>
  </si>
  <si>
    <t>1. Xuất dữ liệu số lượng lớn</t>
  </si>
  <si>
    <t>Không treo hệ thống, xuất thành công</t>
  </si>
  <si>
    <t>Là Admin, tôi muốn xử lý khi không có dữ liệu</t>
  </si>
  <si>
    <t>Không có dữ liệu thỏa filter</t>
  </si>
  <si>
    <t>Edge case</t>
  </si>
  <si>
    <t>1. Filter không có kết quả; 
2. Xuất</t>
  </si>
  <si>
    <t>Hiển thị thông báo “Không có dữ liệu để xuất”</t>
  </si>
  <si>
    <t>Là Admin, tôi muốn bảo toàn filter khi quay lại</t>
  </si>
  <si>
    <t>Đã filter</t>
  </si>
  <si>
    <t>1. Filter;
 2. Xem chi tiết; 
3. Quay lại</t>
  </si>
  <si>
    <t>Filter vẫn được giữ nguyên</t>
  </si>
  <si>
    <t>Trang chi tiết Hợp Đồng (Nháp)</t>
  </si>
  <si>
    <t>Xem chi tiết hồ sơ ở trạng thái Bản nháp</t>
  </si>
  <si>
    <t>Trang chi tiết bản nháp</t>
  </si>
  <si>
    <t>Hồ sơ tồn tại với trạng thái “Bản nháp”</t>
  </si>
  <si>
    <t>Underwriter truy cập trang chi tiết của hồ sơ bản nháp để xem thông tin đã nhập</t>
  </si>
  <si>
    <t>1. Đăng nhập bằng Underwriter 2. Vào danh sách hồ sơ 3. Click vào hồ sơ có trạng thái “Bản nháp”</t>
  </si>
  <si>
    <t>Trang chi tiết hiển thị; trạng thái hiển thị “Bản nháp”; thông tin cơ bản, tài liệu đính kèm, đề xuất công ty BH hiển thị đúng dữ liệu đã lưu</t>
  </si>
  <si>
    <t>Hiển thị nút “Sửa” trên trang chi tiết bản nháp</t>
  </si>
  <si>
    <t>Nút Sửa</t>
  </si>
  <si>
    <t>Hồ sơ ở trạng thái “Bản nháp”</t>
  </si>
  <si>
    <t>Chỉ hồ sơ bản nháp mới được phép chỉnh sửa</t>
  </si>
  <si>
    <t>1. Mở trang chi tiết hồ sơ bản nháp 2. Quan sát góc trên bên phải</t>
  </si>
  <si>
    <t>Hiển thị nút “Sửa”; nút khả dụng (enabled); không hiển thị với hồ sơ không phải bản nháp</t>
  </si>
  <si>
    <t>Click nút “Sửa” mở trang Sửa hồ sơ bảo hiểm</t>
  </si>
  <si>
    <t>Điều hướng sang trang sửa</t>
  </si>
  <si>
    <t>Khi click “Sửa”, hệ thống mở trang Sửa hồ sơ bảo hiểm</t>
  </si>
  <si>
    <t>1. Mở trang chi tiết bản nháp 2. Click nút “Sửa”</t>
  </si>
  <si>
    <t>Hệ thống điều hướng sang trang “Sửa hồ sơ bảo hiểm”; hiển thị wizard các bước (1–4)</t>
  </si>
  <si>
    <t>Load đúng dữ liệu cũ vào trang Sửa hồ sơ (Bước 1)</t>
  </si>
  <si>
    <t>Chỉnh sửa hồ sơ</t>
  </si>
  <si>
    <t>Thông tin cơ bản</t>
  </si>
  <si>
    <t>Hồ sơ bản nháp đã có dữ liệu ở Bước 1</t>
  </si>
  <si>
    <t>Dữ liệu đã lưu phải được load lại đầy đủ</t>
  </si>
  <si>
    <t>1. Thực hiện TC-DRAFT-03 2. Quan sát Bước 1 – Thông tin cơ bản</t>
  </si>
  <si>
    <t>Tất cả field (Loại hình BH, Địa điểm, Người được BH, Ngành nghề, Ngày bắt đầu/kết thúc…) được prefill đúng theo dữ liệu bản nháp</t>
  </si>
  <si>
    <t>Kiểm tra cảnh báo khi thay đổi Loại hình bảo hiểm</t>
  </si>
  <si>
    <t>Cảnh báo thay đổi dữ liệu</t>
  </si>
  <si>
    <t>Hồ sơ bản nháp đã có dữ liệu các bước sau</t>
  </si>
  <si>
    <t>Khi thay đổi Loại hình BH, hệ thống cảnh báo dữ liệu phụ thuộc sẽ bị thay đổi</t>
  </si>
  <si>
    <t>1. Ở trang Sửa hồ sơ, thay đổi Loại hình bảo hiểm 2. Quan sát thông báo</t>
  </si>
  <si>
    <t>Hiển thị cảnh báo (như spec): phạm vi BH, điều khoản bổ sung, mức khấu trừ sẽ thay đổi theo; người dùng nhận biết rủi ro mất dữ liệu</t>
  </si>
  <si>
    <t>Quay lại từ trang Sửa hồ sơ mà không lưu</t>
  </si>
  <si>
    <t>Nút Quay lại</t>
  </si>
  <si>
    <t>Đang ở trang Sửa hồ sơ</t>
  </si>
  <si>
    <t>Cho phép người dùng quay lại trang trước</t>
  </si>
  <si>
    <t>1. Vào trang Sửa hồ sơ 2. Nhấn “Quay lại”</t>
  </si>
  <si>
    <t>Hệ thống quay về trang chi tiết bản nháp; dữ liệu bản nháp không bị thay đổi</t>
  </si>
  <si>
    <t>Lưu thay đổi khi chỉnh sửa và tiếp tục luồng</t>
  </si>
  <si>
    <t>Lưu &amp; Tiếp theo</t>
  </si>
  <si>
    <t>Người dùng chỉnh sửa và tiếp tục sang bước sau</t>
  </si>
  <si>
    <t>1. Sửa dữ liệu ở Bước 1 2. Nhấn “Tiếp theo”</t>
  </si>
  <si>
    <t>Dữ liệu được validate và lưu tạm; chuyển sang Bước 2; không tạo hồ sơ mới</t>
  </si>
  <si>
    <t>Phân quyền – user không phải Underwriter</t>
  </si>
  <si>
    <t>Quyền chỉnh sửa</t>
  </si>
  <si>
    <t>User không có quyền chỉnh sửa</t>
  </si>
  <si>
    <t>Chỉ Underwriter mới được sửa bản nháp</t>
  </si>
  <si>
    <t>1. Đăng nhập bằng role khác (VD: Manager) 2. Mở trang chi tiết bản nháp</t>
  </si>
  <si>
    <t>Không hiển thị nút “Sửa” hoặc nút bị disable; không cho phép truy cập URL sửa trực tiếp</t>
  </si>
  <si>
    <t>Refresh trang Sửa hồ sơ</t>
  </si>
  <si>
    <t>Reload không làm mất dữ liệu đã load</t>
  </si>
  <si>
    <t>1. Vào trang Sửa hồ sơ 2. Refresh trình duyệt</t>
  </si>
  <si>
    <t>Trang reload thành công; dữ liệu bản nháp vẫn được load đúng từ backend</t>
  </si>
  <si>
    <t>Trang chi tiết Hợp Đồng (Chờ duyệt công ty)</t>
  </si>
  <si>
    <t>Xem chi tiết HĐBH ở trạng thái Chờ duyệt công ty</t>
  </si>
  <si>
    <t>Trang chi tiết HĐBH</t>
  </si>
  <si>
    <t>Hồ sơ tồn tại với trạng thái “Chờ duyệt công ty bảo hiểm”</t>
  </si>
  <si>
    <t>Underwriter truy cập trang chi tiết để xem thông tin hồ sơ đang chờ duyệt</t>
  </si>
  <si>
    <t>1. Đăng nhập Underwriter 2. Vào danh sách HĐBH 3. Click hồ sơ có trạng thái “Chờ duyệt công ty”</t>
  </si>
  <si>
    <t>Trang chi tiết hiển thị; nhãn trạng thái “Chờ duyệt công ty” hiển thị rõ ràng; thông tin hồ sơ hiển thị đầy đủ</t>
  </si>
  <si>
    <t>Hiển thị trạng thái read-only cho thông tin cơ bản</t>
  </si>
  <si>
    <t>Hồ sơ ở trạng thái Chờ duyệt công ty</t>
  </si>
  <si>
    <t>Không cho chỉnh sửa dữ liệu khi đang chờ duyệt</t>
  </si>
  <si>
    <t>1. Mở chi tiết hồ sơ chờ duyệt 2. Quan sát các trường Thông tin cơ bản</t>
  </si>
  <si>
    <t>Tất cả trường hiển thị ở chế độ chỉ đọc; không có input/editable field</t>
  </si>
  <si>
    <t>Không hiển thị nút “Sửa” khi chờ duyệt công ty</t>
  </si>
  <si>
    <t>Ngăn Underwriter chỉnh sửa hồ sơ đang chờ duyệt</t>
  </si>
  <si>
    <t>1. Mở trang chi tiết hồ sơ chờ duyệt 2. Quan sát góc trên bên phải</t>
  </si>
  <si>
    <t>Không hiển thị nút “Sửa” hoặc nút bị disable hoàn toàn</t>
  </si>
  <si>
    <t>Hiển thị link “Xem lịch sử chỉnh sửa”</t>
  </si>
  <si>
    <t>Lịch sử chỉnh sửa</t>
  </si>
  <si>
    <t>Hồ sơ đã từng được chỉnh sửa trước đó</t>
  </si>
  <si>
    <t>Cho phép người dùng xem lịch sử thay đổi</t>
  </si>
  <si>
    <t>1. Mở trang chi tiết hồ sơ chờ duyệt 2. Click “Xem lịch sử chỉnh sửa”</t>
  </si>
  <si>
    <t>Mở popup/trang lịch sử; hiển thị đúng các lần chỉnh sửa (thời gian, người chỉnh sửa, nội dung)</t>
  </si>
  <si>
    <t>Hiển thị đúng thông tin Bản chào &amp; tài liệu đính kèm</t>
  </si>
  <si>
    <t>Tài liệu đính kèm</t>
  </si>
  <si>
    <t>Hồ sơ có upload Bản chào/Dự thảo/HĐBH scan</t>
  </si>
  <si>
    <t>Người dùng kiểm tra các file đã upload</t>
  </si>
  <si>
    <t>1. Mở chi tiết hồ sơ 2. Quan sát khu vực “Bản chào, Dự thảo HĐ, HĐ đã ký và Tài liệu đính kèm”</t>
  </si>
  <si>
    <t>Danh sách file hiển thị đầy đủ; tên file, người upload, ngày upload đúng; có nút tải file</t>
  </si>
  <si>
    <t>Tải xuống file Bản chào phí</t>
  </si>
  <si>
    <t>Download file</t>
  </si>
  <si>
    <t>File Bản chào tồn tại</t>
  </si>
  <si>
    <t>Cho phép tải file khi hồ sơ chờ duyệt</t>
  </si>
  <si>
    <t>1. Mở chi tiết hồ sơ 2. Click icon tải file Bản chào</t>
  </si>
  <si>
    <t>File được tải thành công; nội dung file đúng; không lỗi quyền truy cập</t>
  </si>
  <si>
    <t>Hiển thị danh sách công ty bảo hiểm được đề xuất</t>
  </si>
  <si>
    <t>Hồ sơ có danh sách công ty đề xuất</t>
  </si>
  <si>
    <t>Hiển thị các công ty BH đúng dữ liệu</t>
  </si>
  <si>
    <t>1. Mở chi tiết hồ sơ 2. Quan sát mục “Đề xuất công ty bảo hiểm”</t>
  </si>
  <si>
    <t>Danh sách công ty (VD: Bảo Việt, PVI, Bảo Minh…) hiển thị đúng thứ tự đã lưu</t>
  </si>
  <si>
    <t>Kiểm tra điều hướng nút “Quay lại”</t>
  </si>
  <si>
    <t>Đang ở trang chi tiết hồ sơ chờ duyệt</t>
  </si>
  <si>
    <t>Cho phép quay lại danh sách</t>
  </si>
  <si>
    <t>1. Mở chi tiết hồ sơ 2. Nhấn “Quay lại”</t>
  </si>
  <si>
    <t>Hệ thống quay về danh sách HĐBH; giữ nguyên filter/trạng thái trước đó (nếu có)</t>
  </si>
  <si>
    <t>Phân quyền: Underwriter không thể chỉnh sửa khi chờ duyệt</t>
  </si>
  <si>
    <t>Role Underwriter</t>
  </si>
  <si>
    <t>User là Underwriter</t>
  </si>
  <si>
    <t>Đảm bảo đúng rule phân quyền</t>
  </si>
  <si>
    <t>1. Login Underwriter 2. Truy cập URL chỉnh sửa trực tiếp (nếu biết)</t>
  </si>
  <si>
    <t>Hệ thống chặn truy cập; redirect về trang chi tiết hoặc hiển thị thông báo không có quyền</t>
  </si>
  <si>
    <t>Phân quyền: Leader/Manager xem được hồ sơ chờ duyệt</t>
  </si>
  <si>
    <t>Role Leader/Manager</t>
  </si>
  <si>
    <t>User có quyền duyệt</t>
  </si>
  <si>
    <t>Người có quyền duyệt truy cập xem hồ sơ</t>
  </si>
  <si>
    <t>1. Login Leader/Manager 2. Mở chi tiết hồ sơ chờ duyệt</t>
  </si>
  <si>
    <t>Hồ sơ hiển thị đầy đủ; các hành động duyệt/từ chối (nếu có ở màn khác) được cho phép</t>
  </si>
  <si>
    <t>Refresh trang chi tiết khi chờ duyệt</t>
  </si>
  <si>
    <t>Hồ sơ đang ở trạng thái chờ duyệt</t>
  </si>
  <si>
    <t>Reload không làm thay đổi trạng thái</t>
  </si>
  <si>
    <t>1. Mở chi tiết hồ sơ 2. Refresh trình duyệt</t>
  </si>
  <si>
    <t>Trang load lại thành công; trạng thái vẫn là “Chờ duyệt công ty”; dữ liệu không thay đổi</t>
  </si>
  <si>
    <t>Cập nhật trạng thái sau khi được công ty duyệt</t>
  </si>
  <si>
    <t>Đồng bộ trạng thái</t>
  </si>
  <si>
    <t>Update status</t>
  </si>
  <si>
    <t>Hồ sơ được duyệt ở luồng khác</t>
  </si>
  <si>
    <t>Kiểm tra hiển thị trạng thái mới</t>
  </si>
  <si>
    <t>1. Hồ sơ được duyệt ở phía Leader/Company 2. Reload trang chi tiết</t>
  </si>
  <si>
    <t>Trạng thái cập nhật sang “Đã duyệt công ty” (hoặc trạng thái tiếp theo); UI hiển thị đúng trạng thái mới</t>
  </si>
  <si>
    <t>Trang chi tiết Hợp Đồng (Chỉnh sửa Đề Xuất)</t>
  </si>
  <si>
    <t>Là Admin, tôi muốn nhận biết trạng thái chỉnh sửa</t>
  </si>
  <si>
    <t>Hiển thị trạng thái</t>
  </si>
  <si>
    <t>Hồ sơ ở trạng thái Chỉnh sửa</t>
  </si>
  <si>
    <t>Kiểm tra nhãn trạng thái</t>
  </si>
  <si>
    <t>1. Truy cập chi tiết hồ sơ</t>
  </si>
  <si>
    <t>Hiển thị nhãn “Chỉnh sửa đề xuất” hoặc “Chỉnh sửa năng lực”</t>
  </si>
  <si>
    <t>Là Admin, tôi muốn xem yêu cầu chỉnh sửa</t>
  </si>
  <si>
    <t>Yêu cầu chỉnh sửa</t>
  </si>
  <si>
    <t>Có yêu cầu từ Leader</t>
  </si>
  <si>
    <t>Hiển thị phần yêu cầu</t>
  </si>
  <si>
    <t>1. Truy cập hồ sơ</t>
  </si>
  <si>
    <t>Khối “Yêu cầu chỉnh sửa” hiển thị ở đầu trang</t>
  </si>
  <si>
    <t>Là Admin, tôi muốn đọc nội dung yêu cầu</t>
  </si>
  <si>
    <t>Có dữ liệu yêu cầu</t>
  </si>
  <si>
    <t>Kiểm tra nội dung</t>
  </si>
  <si>
    <t>1. Quan sát nội dung yêu cầu</t>
  </si>
  <si>
    <t>Nội dung yêu cầu hiển thị đầy đủ, đúng người gửi</t>
  </si>
  <si>
    <t>Là Admin, tôi muốn quay lại danh sách</t>
  </si>
  <si>
    <t>Đang ở trang chi tiết</t>
  </si>
  <si>
    <t>Điều hướng về danh sách</t>
  </si>
  <si>
    <t>Quay về màn hình Quản lý HĐBH</t>
  </si>
  <si>
    <t>Là Admin, tôi muốn chỉnh sửa hồ sơ</t>
  </si>
  <si>
    <t>Mở luồng chỉnh sửa</t>
  </si>
  <si>
    <t>Hồ sơ cho phép sửa</t>
  </si>
  <si>
    <t>Mở lại quy trình tạo hồ sơ</t>
  </si>
  <si>
    <r>
      <t xml:space="preserve">1. Nhấn nút </t>
    </r>
    <r>
      <rPr>
        <b/>
        <sz val="11"/>
        <color theme="1"/>
        <rFont val="Aptos Narrow"/>
        <family val="2"/>
        <scheme val="minor"/>
      </rPr>
      <t>Sửa</t>
    </r>
  </si>
  <si>
    <t>Hệ thống mở quy trình Bước 1–4</t>
  </si>
  <si>
    <t>Là Admin, tôi muốn lưu nháp sau chỉnh sửa</t>
  </si>
  <si>
    <t>Đã sửa dữ liệu</t>
  </si>
  <si>
    <t>Lưu tạm hồ sơ</t>
  </si>
  <si>
    <r>
      <t xml:space="preserve">1. Chỉnh sửa; 2. Nhấn </t>
    </r>
    <r>
      <rPr>
        <b/>
        <sz val="11"/>
        <color theme="1"/>
        <rFont val="Aptos Narrow"/>
        <family val="2"/>
        <scheme val="minor"/>
      </rPr>
      <t>Lưu nháp</t>
    </r>
  </si>
  <si>
    <t>Hồ sơ lưu trạng thái Nháp</t>
  </si>
  <si>
    <t>Là Admin, tôi muốn gửi lại xét duyệt</t>
  </si>
  <si>
    <t>Gửi lại hồ sơ</t>
  </si>
  <si>
    <r>
      <t xml:space="preserve">1. Chỉnh sửa; 2. Nhấn </t>
    </r>
    <r>
      <rPr>
        <b/>
        <sz val="11"/>
        <color theme="1"/>
        <rFont val="Aptos Narrow"/>
        <family val="2"/>
        <scheme val="minor"/>
      </rPr>
      <t>Gửi xét duyệt</t>
    </r>
  </si>
  <si>
    <t>Hồ sơ chuyển trạng thái Chờ xét duyệt</t>
  </si>
  <si>
    <t>Là Admin, tôi muốn xem lịch sử chỉnh sửa</t>
  </si>
  <si>
    <t>Có lịch sử</t>
  </si>
  <si>
    <t>Xem log chỉnh sửa</t>
  </si>
  <si>
    <r>
      <t xml:space="preserve">1. Nhấn </t>
    </r>
    <r>
      <rPr>
        <b/>
        <sz val="11"/>
        <color theme="1"/>
        <rFont val="Aptos Narrow"/>
        <family val="2"/>
        <scheme val="minor"/>
      </rPr>
      <t>Xem lịch sử chỉnh sửa</t>
    </r>
  </si>
  <si>
    <t>Hiển thị danh sách chỉnh sửa (ai, khi nào, nội dung)</t>
  </si>
  <si>
    <t>Là Admin, tôi muốn xem thông tin cơ bản</t>
  </si>
  <si>
    <t>Xem thông tin</t>
  </si>
  <si>
    <t>Kiểm tra dữ liệu hiển thị</t>
  </si>
  <si>
    <t>1. Mở mục Thông tin cơ bản</t>
  </si>
  <si>
    <t>Dữ liệu hiển thị đúng, đúng định dạng</t>
  </si>
  <si>
    <t>Là Admin, tôi muốn thu gọn thông tin</t>
  </si>
  <si>
    <t>Thu gọn/Mở rộng</t>
  </si>
  <si>
    <t>Mục đang mở</t>
  </si>
  <si>
    <t>Kiểm tra UI</t>
  </si>
  <si>
    <t>1. Nhấn mũi tên thu gọn</t>
  </si>
  <si>
    <t>Mục được thu gọn/mở rộng</t>
  </si>
  <si>
    <t>Là Admin, tôi muốn tải file đính kèm</t>
  </si>
  <si>
    <t>Tài liệu</t>
  </si>
  <si>
    <t>Tải xuống</t>
  </si>
  <si>
    <t>Có file</t>
  </si>
  <si>
    <t>1. Nhấn icon tải xuống</t>
  </si>
  <si>
    <t>File được tải về đúng</t>
  </si>
  <si>
    <t>Là Admin, tôi muốn xóa file đính kèm</t>
  </si>
  <si>
    <t>Xóa file</t>
  </si>
  <si>
    <t>Hồ sơ ở trạng thái Nháp</t>
  </si>
  <si>
    <t>1. Nhấn icon thùng rác</t>
  </si>
  <si>
    <t>File bị xóa khỏi hồ sơ</t>
  </si>
  <si>
    <t>Là Admin, tôi muốn upload file mới</t>
  </si>
  <si>
    <t>Upload</t>
  </si>
  <si>
    <t>File hợp lệ</t>
  </si>
  <si>
    <t>Upload tài liệu</t>
  </si>
  <si>
    <t>1. Chọn/kéo file vào khung</t>
  </si>
  <si>
    <t>File upload thành công</t>
  </si>
  <si>
    <t>Là Admin, tôi không được xóa file khi đã gửi</t>
  </si>
  <si>
    <t>Hồ sơ không ở Nháp</t>
  </si>
  <si>
    <t>Kiểm tra hạn chế</t>
  </si>
  <si>
    <t>1. Quan sát icon xóa</t>
  </si>
  <si>
    <t>Không hiển thị hoặc bị disable</t>
  </si>
  <si>
    <t>Là Admin, tôi muốn giới hạn dung lượng file</t>
  </si>
  <si>
    <t>File &gt;25MB</t>
  </si>
  <si>
    <t>Upload file lớn</t>
  </si>
  <si>
    <t>1. Upload file &gt;25MB</t>
  </si>
  <si>
    <t>Là Admin, tôi muốn kiểm tra định dạng file</t>
  </si>
  <si>
    <t>File không hợp lệ</t>
  </si>
  <si>
    <t>1. Upload file .exe</t>
  </si>
  <si>
    <t>Hệ thống từ chối</t>
  </si>
  <si>
    <t>Là Admin, tôi muốn xem đề xuất công ty BH</t>
  </si>
  <si>
    <t>Đề xuất</t>
  </si>
  <si>
    <t>Kiểm tra danh sách</t>
  </si>
  <si>
    <t>1. Cuộn xuống mục Đề xuất</t>
  </si>
  <si>
    <t>Hiển thị đúng danh sách công ty</t>
  </si>
  <si>
    <t>Là Admin, tôi muốn đảm bảo dữ liệu không bị thay đổi</t>
  </si>
  <si>
    <t>Toàn vẹn dữ liệu</t>
  </si>
  <si>
    <t>Chỉ xem</t>
  </si>
  <si>
    <t>Không thao tác sửa</t>
  </si>
  <si>
    <t>1. Không nhấn Sửa</t>
  </si>
  <si>
    <t>Không trường nào cho phép edit</t>
  </si>
  <si>
    <t>Là Admin, tôi muốn tránh mất dữ liệu khi reload</t>
  </si>
  <si>
    <t>Đang chỉnh sửa</t>
  </si>
  <si>
    <t>Cảnh báo mất dữ liệu (nếu có)</t>
  </si>
  <si>
    <t>Trang chi tiết Hợp Đồng (Đã duyệt công ty)</t>
  </si>
  <si>
    <t>Xem chi tiết HĐBH ở trạng thái Đã duyệt công ty</t>
  </si>
  <si>
    <t>Hồ sơ tồn tại với trạng thái “Đã duyệt công ty”</t>
  </si>
  <si>
    <t>Underwriter truy cập trang chi tiết để theo dõi hồ sơ đang Đã duyệt công ty</t>
  </si>
  <si>
    <t>1. Đăng nhập Underwriter
 2. Vào danh sách HĐBH 
3. Click hồ sơ có trạng thái “Đã duyệt công ty”</t>
  </si>
  <si>
    <t>Trang chi tiết hiển thị; nhãn trạng thái “Đã duyệt công ty” hiển thị rõ ràng; thông tin hồ sơ hiển thị đầy đủ</t>
  </si>
  <si>
    <t>Hiển thị trang ở chế độ read-only</t>
  </si>
  <si>
    <t>Read-only view</t>
  </si>
  <si>
    <t>Hồ sơ ở trạng thái Đã duyệt công ty</t>
  </si>
  <si>
    <t>1. Mở chi tiết hồ sơ Đã duyệt công ty 
2. Quan sát các trường</t>
  </si>
  <si>
    <t>Tất cả trường hiển thị dạng chỉ đọc; không có input chỉnh sửa</t>
  </si>
  <si>
    <t>Không hiển thị nút “Sửa”</t>
  </si>
  <si>
    <t>Ngăn chỉnh sửa hồ sơ</t>
  </si>
  <si>
    <t>1. Mở chi tiết hồ sơ 
2. Quan sát góc trên bên phải</t>
  </si>
  <si>
    <t>Hiển thị đầy đủ Bản chào phí và tài liệu đính kèm</t>
  </si>
  <si>
    <t>Hồ sơ có file upload</t>
  </si>
  <si>
    <t>Người dùng xem danh sách tài liệu</t>
  </si>
  <si>
    <t>1. Mở chi tiết hồ sơ
 2. Quan sát khu vực “Bản chào, Dự thảo HĐ, HĐ đã ký và Tài liệu đính kèm”</t>
  </si>
  <si>
    <t>Danh sách file hiển thị đầy đủ; đúng tên file, người upload, ngày upload; có icon tải</t>
  </si>
  <si>
    <t>File tồn tại</t>
  </si>
  <si>
    <t>Cho phép tải file</t>
  </si>
  <si>
    <t>1. Click icon tải file Bản chào phí</t>
  </si>
  <si>
    <t>File được tải thành công; nội dung đúng; không lỗi quyền</t>
  </si>
  <si>
    <t>Hiển thị danh sách đề xuất công ty bảo hiểm và % nhận</t>
  </si>
  <si>
    <t>Có dữ liệu đề xuất công ty</t>
  </si>
  <si>
    <t>Hiển thị danh sách công ty và tỷ lệ nhận</t>
  </si>
  <si>
    <t>1. Mở chi tiết hồ sơ 
2. Quan sát mục “Đề xuất công ty bảo hiểm”</t>
  </si>
  <si>
    <t>Danh sách công ty hiển thị đúng; % nhận đúng theo dữ liệu đã gửi</t>
  </si>
  <si>
    <t>Hiển thị tổng năng lực bằng 100%</t>
  </si>
  <si>
    <t>Tổng năng lực</t>
  </si>
  <si>
    <t>Hồ sơ đã được gửi sang bước duyệt năng lực</t>
  </si>
  <si>
    <t>Tổng năng lực phải đạt 100%</t>
  </si>
  <si>
    <t>1. Mở chi tiết hồ sơ 
2. Quan sát dòng “TỔNG NĂNG LỰC”</t>
  </si>
  <si>
    <t>Tổng năng lực hiển thị = 100%; không cho chỉnh sửa</t>
  </si>
  <si>
    <t>Hiển thị ghi chú “Đang trong quá trình chờ phê duyệt”</t>
  </si>
  <si>
    <t>Thông báo trạng thái xử lý</t>
  </si>
  <si>
    <t>1. Mở chi tiết hồ sơ 
2. Quan sát trường Ghi chú</t>
  </si>
  <si>
    <t>Nội dung ghi chú hiển thị đúng: “Đang trong quá trình chờ phê duyệt.”</t>
  </si>
  <si>
    <t>Không hiển thị nút hành động gửi duyệt tiếp</t>
  </si>
  <si>
    <t>Hành động</t>
  </si>
  <si>
    <t>Underwriter không được thao tác tiếp</t>
  </si>
  <si>
    <t>1. Mở chi tiết hồ sơ</t>
  </si>
  <si>
    <t>Không hiển thị nút “Gửi lãnh đạo phê duyệt” hoặc các nút hành động khác</t>
  </si>
  <si>
    <t>Kiểm tra nút “Quay lại”</t>
  </si>
  <si>
    <t>Quay lại danh sách</t>
  </si>
  <si>
    <t>Cho phép quay lại danh sách HĐBH</t>
  </si>
  <si>
    <t>Hệ thống quay về danh sách HĐBH; giữ filter/trạng thái trước đó (nếu có)</t>
  </si>
  <si>
    <t>Refresh trang chi tiết khi Đã duyệt công ty</t>
  </si>
  <si>
    <t>Hồ sơ đang Đã duyệt công ty</t>
  </si>
  <si>
    <t>1. Refresh trình duyệt</t>
  </si>
  <si>
    <t>Trang load lại thành công; trạng thái vẫn là “Đã duyệt công ty”; dữ liệu không đổi</t>
  </si>
  <si>
    <t>Phân quyền – Underwriter không thể chỉnh sửa</t>
  </si>
  <si>
    <t>Ngăn truy cập chỉnh sửa</t>
  </si>
  <si>
    <t>1. Đăng nhập Underwriter 
2. Truy cập URL chỉnh sửa trực tiếp</t>
  </si>
  <si>
    <t>Phân quyền – Leader/Manager xem được hồ sơ</t>
  </si>
  <si>
    <t>User có quyền duyệt năng lực</t>
  </si>
  <si>
    <t>Cho phép xem hồ sơ</t>
  </si>
  <si>
    <t>1. Đăng nhập Leader/Manager 
2. Mở chi tiết hồ sơ</t>
  </si>
  <si>
    <t>Hồ sơ hiển thị đầy đủ; sẵn sàng cho luồng duyệt năng lực ở màn khác</t>
  </si>
  <si>
    <t>Cập nhật trạng thái sau khi duyệt năng lực</t>
  </si>
  <si>
    <t>Hồ sơ được duyệt năng lực ở luồng khác</t>
  </si>
  <si>
    <t>Kiểm tra cập nhật trạng thái</t>
  </si>
  <si>
    <t>1. Leader duyệt năng lực 
2. Reload trang chi tiết</t>
  </si>
  <si>
    <t>Trạng thái cập nhật sang “Đã duyệt năng lực” (hoặc trạng thái tiếp theo); UI hiển thị đúng</t>
  </si>
  <si>
    <t>Trang chi tiết Hợp Đồng (Chờ Duyệt Năng Lực)</t>
  </si>
  <si>
    <t>Xem chi tiết HĐBH ở trạng thái Chờ duyệt năng lực</t>
  </si>
  <si>
    <t>Hồ sơ tồn tại với trạng thái “Chờ duyệt năng lực”</t>
  </si>
  <si>
    <t>Underwriter truy cập trang chi tiết để theo dõi hồ sơ đang chờ duyệt năng lực</t>
  </si>
  <si>
    <t>1. Đăng nhập Underwriter 2. Vào danh sách HĐBH 3. Click hồ sơ có trạng thái “Chờ duyệt năng lực”</t>
  </si>
  <si>
    <t>Trang chi tiết hiển thị; nhãn trạng thái “Chờ duyệt năng lực” hiển thị rõ ràng; thông tin hồ sơ hiển thị đầy đủ</t>
  </si>
  <si>
    <t>Hồ sơ ở trạng thái Chờ duyệt năng lực</t>
  </si>
  <si>
    <t>1. Mở chi tiết hồ sơ chờ duyệt năng lực 2. Quan sát các trường</t>
  </si>
  <si>
    <t>1. Mở chi tiết hồ sơ 2. Quan sát góc trên bên phải</t>
  </si>
  <si>
    <t>1. Mở chi tiết hồ sơ 2. Quan sát dòng “TỔNG NĂNG LỰC”</t>
  </si>
  <si>
    <t>1. Mở chi tiết hồ sơ 2. Quan sát trường Ghi chú</t>
  </si>
  <si>
    <t>Refresh trang chi tiết khi chờ duyệt năng lực</t>
  </si>
  <si>
    <t>Hồ sơ đang chờ duyệt năng lực</t>
  </si>
  <si>
    <t>Trang load lại thành công; trạng thái vẫn là “Chờ duyệt năng lực”; dữ liệu không đổi</t>
  </si>
  <si>
    <t>1. Đăng nhập Underwriter 2. Truy cập URL chỉnh sửa trực tiếp</t>
  </si>
  <si>
    <t>1. Đăng nhập Leader/Manager 2. Mở chi tiết hồ sơ</t>
  </si>
  <si>
    <t>1. Leader duyệt năng lực 2. Reload trang chi tiết</t>
  </si>
  <si>
    <t>Trang chi tiết Hợp Đồng (Đã duyệt năng lực)</t>
  </si>
  <si>
    <t>Xem chi tiết HĐBH ở trạng thái Đã duyệt năng lực</t>
  </si>
  <si>
    <t>Hồ sơ tồn tại với trạng thái “Đã duyệt năng lực”</t>
  </si>
  <si>
    <t>Underwriter truy cập để xem hồ sơ đã hoàn tất duyệt năng lực</t>
  </si>
  <si>
    <t>1. Đăng nhập Underwriter 
2. Vào danh sách HĐBH 
3. Click hồ sơ trạng thái “Đã duyệt năng lực”</t>
  </si>
  <si>
    <t>Trang chi tiết hiển thị; nhãn trạng thái “Đã duyệt năng lực” hiển thị rõ ràng; toàn bộ thông tin hồ sơ hiển thị đầy đủ</t>
  </si>
  <si>
    <t>Hồ sơ ở trạng thái Đã duyệt năng lực</t>
  </si>
  <si>
    <t>Không cho chỉnh sửa thông tin sau khi đã duyệt</t>
  </si>
  <si>
    <t>1. Mở chi tiết hồ sơ 
2. Quan sát các trường</t>
  </si>
  <si>
    <t>Tất cả trường hiển thị dạng chỉ đọc; không có input cho phép chỉnh sửa</t>
  </si>
  <si>
    <t>Hồ sơ đã duyệt năng lực</t>
  </si>
  <si>
    <t>Hiển thị đầy đủ Bản chào phí, Dự thảo HĐBH và tài liệu đính kèm</t>
  </si>
  <si>
    <t>Hồ sơ có upload file</t>
  </si>
  <si>
    <t>Người dùng xem và tải tài liệu</t>
  </si>
  <si>
    <t>1. Mở chi tiết hồ sơ 2. Quan sát khu vực tài liệu</t>
  </si>
  <si>
    <t>Danh sách file hiển thị đầy đủ; đúng tên file; đúng người upload; đúng ngày upload</t>
  </si>
  <si>
    <t>Tải file Bản chào phí thành công</t>
  </si>
  <si>
    <t>File được tải thành công; nội dung đúng; không lỗi</t>
  </si>
  <si>
    <t>Thay thế file Dự thảo HĐBH</t>
  </si>
  <si>
    <t>Thay file Dự thảo HĐBH</t>
  </si>
  <si>
    <t>Hồ sơ ở trạng thái Đã duyệt năng lực; user có quyền</t>
  </si>
  <si>
    <t>Cho phép thay file dự thảo sau khi đã duyệt năng lực</t>
  </si>
  <si>
    <t>1. Click “Thay file khác” tại mục Dự thảo HĐBH 
2. Chọn file mới</t>
  </si>
  <si>
    <t>Hiển thị popup cảnh báo thay file; cho phép tiếp tục hoặc hủy</t>
  </si>
  <si>
    <t>Xác nhận thay file Dự thảo HĐBH</t>
  </si>
  <si>
    <t>Popup xác nhận</t>
  </si>
  <si>
    <t>Người dùng xác nhận thay file</t>
  </si>
  <si>
    <t>1. Tại popup, nhấn “Có”</t>
  </si>
  <si>
    <t>File Dự thảo HĐBH được thay thế bằng file mới; file cũ không còn hiệu lực; danh sách file cập nhật</t>
  </si>
  <si>
    <t>Hủy thay file Dự thảo HĐBH</t>
  </si>
  <si>
    <t>Người dùng hủy thao tác</t>
  </si>
  <si>
    <t>1. Tại popup, nhấn “Đóng”</t>
  </si>
  <si>
    <t>Popup đóng; file Dự thảo HĐBH cũ được giữ nguyên; không có thay đổi dữ liệu</t>
  </si>
  <si>
    <t>Hiển thị danh sách đề xuất công ty bảo hiểm và tỷ lệ</t>
  </si>
  <si>
    <t>Có dữ liệu đề xuất</t>
  </si>
  <si>
    <t>Hiển thị kết quả duyệt năng lực</t>
  </si>
  <si>
    <t>1. Mở chi tiết hồ sơ 
2. Quan sát mục Đề xuất công ty BH</t>
  </si>
  <si>
    <t>Danh sách công ty hiển thị đúng; tỷ lệ nhận và tỷ lệ đồng bảo hiểm hiển thị đúng; các dòng được highlight theo trạng thái (được duyệt / không được duyệt)</t>
  </si>
  <si>
    <t>Hiển thị tổng năng lực sau khi duyệt</t>
  </si>
  <si>
    <t>1. Quan sát dòng “TỔNG NĂNG LỰC”</t>
  </si>
  <si>
    <t>Hiển thị ghi chú trạng thái</t>
  </si>
  <si>
    <t>Hồ sơ có ghi chú</t>
  </si>
  <si>
    <t>Hiển thị thông tin ghi chú</t>
  </si>
  <si>
    <t>Ghi chú hiển thị đúng nội dung (VD: “Đang trong quá trình chờ phê duyệt.” hoặc nội dung cập nhật)</t>
  </si>
  <si>
    <t>Cho phép quay về danh sách HĐBH</t>
  </si>
  <si>
    <t>Quay về danh sách HĐBH; giữ filter/trạng thái trước đó (nếu có)</t>
  </si>
  <si>
    <t>Refresh trang chi tiết Đã duyệt năng lực</t>
  </si>
  <si>
    <t>Reload không làm thay đổi dữ liệu</t>
  </si>
  <si>
    <t>Trang load lại thành công; trạng thái vẫn là “Đã duyệt năng lực”; dữ liệu không thay đổi</t>
  </si>
  <si>
    <t>Phân quyền – user không có quyền thay file</t>
  </si>
  <si>
    <t>Role validation</t>
  </si>
  <si>
    <t>User không đủ quyền</t>
  </si>
  <si>
    <t>Chặn thao tác thay file</t>
  </si>
  <si>
    <t>1. Login role không có quyền 
2. Mở chi tiết hồ sơ</t>
  </si>
  <si>
    <t>Không hiển thị nút “Thay file khác” hoặc thao tác bị chặn</t>
  </si>
  <si>
    <t>Truy cập trực tiếp URL chỉnh sửa</t>
  </si>
  <si>
    <t>Route protection</t>
  </si>
  <si>
    <t>Ngăn chỉnh sửa trái phép</t>
  </si>
  <si>
    <t>1. Copy URL trang sửa 
2. Truy cập trực tiếp</t>
  </si>
  <si>
    <t>Trang chi tiết Hợp Đồng (TBH Đã Duyệt)</t>
  </si>
  <si>
    <t>Hồ sơ tồn tại với trạng thái “Đã lưu dự thảo hợp đồng”</t>
  </si>
  <si>
    <t>Trang chi tiết hiển thị; nhãn trạng thái “Đã lưu dự thảo hợp đồng” hiển thị rõ ràng; toàn bộ thông tin hồ sơ hiển thị đầy đủ</t>
  </si>
  <si>
    <t>Hồ sơ ở trạng thái Đã lưu dự thảo hợp đồng</t>
  </si>
  <si>
    <t>1. Mở chi tiết hồ sơ 
2. Quan sát khu vực tài liệu</t>
  </si>
  <si>
    <t>1. Mở chi tiết hồ sơ
 2. Quan sát trường Ghi chú</t>
  </si>
  <si>
    <t>Trang chi tiết Hợp Đồng (Đã lưu bản cứng hợp đồng )</t>
  </si>
  <si>
    <t>Xem chi tiết HĐBH ở trạng thái Đã lưu bản cứng HĐ</t>
  </si>
  <si>
    <t>Hồ sơ tồn tại với trạng thái “Đã lưu bản cứng HĐ”</t>
  </si>
  <si>
    <t>Underwriter xem hồ sơ đã hoàn tất lưu bản cứng</t>
  </si>
  <si>
    <t>1. Đăng nhập Underwriter 
2. Vào danh sách HĐBH 
3. Click hồ sơ trạng thái “Đã lưu bản cứng HĐ”</t>
  </si>
  <si>
    <t>Trang chi tiết hiển thị; nhãn trạng thái “Đã lưu bản cứng HĐ” hiển thị rõ; thông tin hồ sơ đầy đủ</t>
  </si>
  <si>
    <t>Trang hiển thị ở chế độ read-only</t>
  </si>
  <si>
    <t>Hồ sơ ở trạng thái Đã lưu bản cứng HĐ</t>
  </si>
  <si>
    <t>Không cho chỉnh sửa dữ liệu</t>
  </si>
  <si>
    <t>Tất cả trường chỉ đọc; không có input chỉnh sửa</t>
  </si>
  <si>
    <t>Hiển thị đầy đủ tài liệu: Bản chào, Dự thảo, HĐBH scanned</t>
  </si>
  <si>
    <t>Tài liệu hợp đồng</t>
  </si>
  <si>
    <t>Hiển thị các file đã lưu</t>
  </si>
  <si>
    <t>Hiển thị đầy đủ các khối: Bản chào phí, Dự thảo HĐBH, HĐBH bản scanned; đúng tên file</t>
  </si>
  <si>
    <t>Tải file hợp đồng thành công</t>
  </si>
  <si>
    <t>1. Click icon tải tại file bất kỳ</t>
  </si>
  <si>
    <t>File tải thành công; nội dung đúng</t>
  </si>
  <si>
    <t>Thay đổi công ty đứng đầu</t>
  </si>
  <si>
    <t>Hồ sơ ở trạng thái Đã lưu bản cứng HĐ; user có quyền</t>
  </si>
  <si>
    <t>Cho phép thay đổi công ty đứng đầu sau khi lưu bản cứng</t>
  </si>
  <si>
    <t>1. Tại mục Đề xuất công ty BH, chọn công ty khác làm công ty đứng đầu</t>
  </si>
  <si>
    <t>Hiển thị popup xác nhận “Thay đổi công ty đứng đầu”</t>
  </si>
  <si>
    <t>Xác nhận thay đổi công ty đứng đầu</t>
  </si>
  <si>
    <t>Người dùng xác nhận thay đổi</t>
  </si>
  <si>
    <t>1. Trong popup, nhấn “Có”</t>
  </si>
  <si>
    <t>Công ty đứng đầu được cập nhật; UI refresh hiển thị đúng công ty mới</t>
  </si>
  <si>
    <t>Hủy thay đổi công ty đứng đầu</t>
  </si>
  <si>
    <t>1. Trong popup, nhấn “Đóng”</t>
  </si>
  <si>
    <t>Popup đóng; công ty đứng đầu giữ nguyên</t>
  </si>
  <si>
    <t>Thay file</t>
  </si>
  <si>
    <t>Cho phép thay file dự thảo</t>
  </si>
  <si>
    <t>1. Click “Thay file khác” tại Dự thảo HĐBH</t>
  </si>
  <si>
    <t>Hiển thị popup cảnh báo thay file</t>
  </si>
  <si>
    <t>Popup cảnh báo đang hiển thị</t>
  </si>
  <si>
    <t>Người dùng đồng ý thay file</t>
  </si>
  <si>
    <t>1. Nhấn “Có” 
2. Chọn file mới</t>
  </si>
  <si>
    <t>File mới được upload và thay thế file cũ; UI cập nhật</t>
  </si>
  <si>
    <t>1. Nhấn “Đóng”</t>
  </si>
  <si>
    <t>Không có thay đổi dữ liệu; file cũ vẫn giữ</t>
  </si>
  <si>
    <t>Thay file HĐBH bản scanned</t>
  </si>
  <si>
    <t>Cho phép thay file HĐBH scanned</t>
  </si>
  <si>
    <t>1. Click “Thay file khác” tại HĐBH scanned</t>
  </si>
  <si>
    <t>Xác nhận thay file HĐBH scanned</t>
  </si>
  <si>
    <t>Người dùng xác nhận</t>
  </si>
  <si>
    <t>1. Nhấn “Có” 
2. Chọn file scanned mới</t>
  </si>
  <si>
    <t>File scanned mới được upload; file cũ bị thay thế</t>
  </si>
  <si>
    <t>Hủy thay file HĐBH scanned</t>
  </si>
  <si>
    <t>Người dùng hủy</t>
  </si>
  <si>
    <t>File scanned cũ vẫn giữ nguyên</t>
  </si>
  <si>
    <t>Xem danh sách phụ lục hợp đồng</t>
  </si>
  <si>
    <t>Phụ lục hợp đồng</t>
  </si>
  <si>
    <t>Hồ sơ có phụ lục</t>
  </si>
  <si>
    <t>Hiển thị danh sách phụ lục</t>
  </si>
  <si>
    <t>1. Cuộn tới mục Phụ lục hợp đồng</t>
  </si>
  <si>
    <t>Danh sách phụ lục hiển thị đầy đủ; có link “Xem chi tiết”</t>
  </si>
  <si>
    <t>Xem chi tiết phụ lục hợp đồng</t>
  </si>
  <si>
    <t>Chi tiết phụ lục</t>
  </si>
  <si>
    <t>Có phụ lục tồn tại</t>
  </si>
  <si>
    <t>Mở trang chi tiết phụ lục</t>
  </si>
  <si>
    <t>1. Click “Xem chi tiết” tại 1 phụ lục</t>
  </si>
  <si>
    <t>Điều hướng sang màn Chi tiết phụ lục; dữ liệu hiển thị đúng</t>
  </si>
  <si>
    <t>Quay lại danh sách HĐBH</t>
  </si>
  <si>
    <t>Cho phép quay lại</t>
  </si>
  <si>
    <t>Quay về danh sách HĐBH; giữ filter trước đó</t>
  </si>
  <si>
    <t>Refresh trang chi tiết</t>
  </si>
  <si>
    <t>Trang load lại thành công; trạng thái và dữ liệu giữ nguyên</t>
  </si>
  <si>
    <t>Phân quyền – user không có quyền thao tác</t>
  </si>
  <si>
    <t>Ngăn thao tác</t>
  </si>
  <si>
    <t>1. Login role không được phép 
2. Mở chi tiết hồ sơ</t>
  </si>
  <si>
    <t>Không hiển thị các nút thay đổi; thao tác bị chặn</t>
  </si>
  <si>
    <t>Trang chi tiết Hợp Đồng Phụ Lục</t>
  </si>
  <si>
    <t>Hiển thị nút điều hướng “Quay lại”</t>
  </si>
  <si>
    <t>Người dùng mở màn Chi tiết phụ lục</t>
  </si>
  <si>
    <t>Nút “Quay lại” xuất hiện tại góc trái và cho phép quay về màn hình trước</t>
  </si>
  <si>
    <t>Mở màn Chi tiết phụ lục và quan sát góc trái</t>
  </si>
  <si>
    <t>Nút “Quay lại” hiển thị đúng và điều hướng về màn hình trước khi nhấn</t>
  </si>
  <si>
    <t>Hiển thị tiêu đề đúng tên phụ lục</t>
  </si>
  <si>
    <t>Phụ lục có tên được lưu trong DB</t>
  </si>
  <si>
    <t>Tiêu đề hiển thị đúng tên đầy đủ của phụ lục</t>
  </si>
  <si>
    <t>Mở màn Chi tiết phụ lục và quan sát tiêu đề</t>
  </si>
  <si>
    <t>Tên phụ lục hiển thị đầy đủ, đúng chính xác và không bị cắt</t>
  </si>
  <si>
    <t>Hiển thị trạng thái phụ lục</t>
  </si>
  <si>
    <t>Phụ lục có trạng thái hợp lệ</t>
  </si>
  <si>
    <t>Nhãn trạng thái hiển thị đúng theo DB (VD: Chờ duyệt phụ lục)</t>
  </si>
  <si>
    <t>Mở màn Chi tiết phụ lục</t>
  </si>
  <si>
    <t>Trạng thái hiển thị đúng và format màu đúng theo spec</t>
  </si>
  <si>
    <t>Hiển thị mã tham chiếu phụ lục</t>
  </si>
  <si>
    <t>Phụ lục có reference code</t>
  </si>
  <si>
    <t>Mã tham chiếu hiển thị đầy đủ và đúng định dạng</t>
  </si>
  <si>
    <t>Mã hiển thị đúng ví dụ “HD-202412-0001”</t>
  </si>
  <si>
    <t>Hiển thị thông tin audit (thời gian cập nhật + liên kết xem lịch sử)</t>
  </si>
  <si>
    <t>Audit log</t>
  </si>
  <si>
    <t>Có dữ liệu Last Updated</t>
  </si>
  <si>
    <t>Hiển thị “Lần cuối chỉnh sửa…” và link “Xem lịch sử chỉnh sửa”</t>
  </si>
  <si>
    <t>Thông tin audit hiển thị đúng, link hoạt động và điều hướng đến trang lịch sử</t>
  </si>
  <si>
    <t>Hiển thị khung thông tin thay đổi (Thông tin phụ lục)</t>
  </si>
  <si>
    <t>Hiển thị thông tin chi tiết</t>
  </si>
  <si>
    <t>Phụ lục có dữ liệu đã gửi ở bước 1</t>
  </si>
  <si>
    <t>Bảng hiển thị đầy đủ các mục: Người được bảo hiểm đã thêm, Số tiền bảo hiểm, phí bổ sung, thuế, tổng phí, thời hạn thanh toán</t>
  </si>
  <si>
    <t>Mở màn Chi tiết phụ lục và quan sát khung dữ liệu</t>
  </si>
  <si>
    <t>Tất cả trường hiển thị đúng dữ liệu và format tiền/phần trăm/ngày đúng chuẩn</t>
  </si>
  <si>
    <t>Kiểm tra format tiền tệ trong khung thông tin</t>
  </si>
  <si>
    <t>UI tiền tệ</t>
  </si>
  <si>
    <t>Có số tiền cần hiển thị</t>
  </si>
  <si>
    <t>Các trường số tiền phải format phân cách nghìn</t>
  </si>
  <si>
    <t>Mở khung thông tin thay đổi</t>
  </si>
  <si>
    <t>Số hiển thị đúng format ví dụ 2.100.000.000</t>
  </si>
  <si>
    <t>Kiểm tra hiển thị màu sắc highlight cho giá trị mới</t>
  </si>
  <si>
    <t>Giá trị thay đổi có highlight</t>
  </si>
  <si>
    <t>Trường thay đổi phải hiển thị màu cam theo spec</t>
  </si>
  <si>
    <t>Giá trị thay đổi hiển thị màu nổi bật (cam) đúng spec</t>
  </si>
  <si>
    <t>Kiểm tra chỉ đọc (read-only) thông tin phụ lục</t>
  </si>
  <si>
    <t>Read-only</t>
  </si>
  <si>
    <t>User không ở chế độ chỉnh sửa</t>
  </si>
  <si>
    <t>Toàn bộ trường chỉ hiển thị, không cho chỉnh</t>
  </si>
  <si>
    <t>Mở màn Chi tiết phụ lục và thử tương tác</t>
  </si>
  <si>
    <t>Không có ô cho phép nhập hoặc chỉnh sửa</t>
  </si>
  <si>
    <t>Kiểm tra hiển thị đúng công thức tính toán (phí bổ sung, thuế, tổng phí)</t>
  </si>
  <si>
    <t>Kiểm tra công thức</t>
  </si>
  <si>
    <t>Phụ lục có dữ liệu tính toán</t>
  </si>
  <si>
    <t>Giá trị hiển thị khớp với công thức hệ thống</t>
  </si>
  <si>
    <t>Mở màn Chi tiết phụ lục và đối chiếu với giá trị tính toán</t>
  </si>
  <si>
    <t>Tất cả giá trị hiển thị khớp 100% với công thức backend</t>
  </si>
  <si>
    <t>Hiển thị tiêu đề "Hợp đồng bảo hiểm" khi status = Đã duyệt năng lực</t>
  </si>
  <si>
    <t>Hợp đồng bảo hiểm</t>
  </si>
  <si>
    <t>Hiển thị mục</t>
  </si>
  <si>
    <t>Hiển thị tiêu đề nhóm và icon đóng/mở</t>
  </si>
  <si>
    <t>Mở trang chi tiết hợp đồng ở trạng thái Đã duyệt năng lực; quan sát khu vực Hợp đồng bảo hiểm</t>
  </si>
  <si>
    <t>Tiêu đề "Hợp đồng bảo hiểm" hiển thị đúng và icon đóng/mở hoạt động</t>
  </si>
  <si>
    <t>Upload file hợp đồng hợp lệ</t>
  </si>
  <si>
    <t>User có quyền upload; file ≤25MB; định dạng PDF/PNG/JPG/DOC/XLS</t>
  </si>
  <si>
    <t>Upload file lên ô upload</t>
  </si>
  <si>
    <t>Chọn file PDF ≤25MB và thực hiện upload</t>
  </si>
  <si>
    <t>File upload thành công và xuất hiện trong danh sách file</t>
  </si>
  <si>
    <t>Upload file vượt giới hạn dung lượng &gt;25MB</t>
  </si>
  <si>
    <t>Upload validation</t>
  </si>
  <si>
    <t>Kiểm tra validation dung lượng</t>
  </si>
  <si>
    <t>Chọn file &gt;25MB và thực hiện upload</t>
  </si>
  <si>
    <t>Hệ thống từ chối upload và hiển thị lỗi "Dung lượng file vượt quá giới hạn 25MB"</t>
  </si>
  <si>
    <t>Upload file sai định dạng</t>
  </si>
  <si>
    <t>File có định dạng không cho phép (ví dụ .zip/.exe)</t>
  </si>
  <si>
    <t>Kiểm tra validation định dạng</t>
  </si>
  <si>
    <t>Chọn file .zip hoặc .exe và thực hiện upload</t>
  </si>
  <si>
    <t>Hệ thống từ chối upload và hiển thị lỗi "Định dạng file không hợp lệ"</t>
  </si>
  <si>
    <t>Hiển thị danh sách file với các cột Tên file, Người tải lên, Ngày tải lên</t>
  </si>
  <si>
    <t>Danh sách file</t>
  </si>
  <si>
    <t>Có ≥1 file đã upload</t>
  </si>
  <si>
    <t>Danh sách file phải hiển thị đầy đủ 3 cột</t>
  </si>
  <si>
    <t>Mở khu vực danh sách file và quan sát các cột</t>
  </si>
  <si>
    <t>Danh sách hiển thị đúng Tên file, Người tải lên và Ngày tải lên theo DB</t>
  </si>
  <si>
    <t>Xóa file đã upload hoạt động đúng</t>
  </si>
  <si>
    <t>Hành động - Xóa</t>
  </si>
  <si>
    <t>User có quyền xóa; file tồn tại</t>
  </si>
  <si>
    <t>Xóa file và reload danh sách</t>
  </si>
  <si>
    <t>Nhấn icon Xóa trên 1 file và xác nhận nếu có</t>
  </si>
  <si>
    <t>File bị xóa khỏi hệ thống và danh sách cập nhật, không còn hiển thị file đó</t>
  </si>
  <si>
    <t>Tải xuống file từ danh sách thành công</t>
  </si>
  <si>
    <t>Hành động - Tải xuống</t>
  </si>
  <si>
    <t>File tồn tại và user có quyền download</t>
  </si>
  <si>
    <t>Tải file xuống từ danh sách</t>
  </si>
  <si>
    <t>Nhấn icon Tải xuống trên 1 file</t>
  </si>
  <si>
    <t>Trình duyệt bắt đầu download file; file có tên và dung lượng đúng; file mở được bình thường</t>
  </si>
  <si>
    <t>Xem chi tiết hợp đồng phụ lục theo AC #1</t>
  </si>
  <si>
    <t>Hợp đồng phụ lục</t>
  </si>
  <si>
    <t>Underwriter đang ở trang chi tiết hợp đồng và hợp đồng có ≥1 phụ lục</t>
  </si>
  <si>
    <t>Underwriter xem chi tiết một phụ lục từ danh sách phụ lục</t>
  </si>
  <si>
    <t>1. Underwriter đang ở màn hình chi tiết hợp đồng; 2. Mở nhóm "Hợp đồng phụ lục"; 3. Nhấn nút "Xem chi tiết" ở một dòng phụ lục</t>
  </si>
  <si>
    <t>Hệ thống điều hướng sang màn hình Chi tiết phụ lục và hiển thị đầy đủ toàn bộ nội dung theo mô tả màn hình và thiết kế</t>
  </si>
  <si>
    <t>Là Leader, tôi muốn truy cập danh sách hồ sơ cần duyệt</t>
  </si>
  <si>
    <t>Phê duyệt cấp đơn</t>
  </si>
  <si>
    <t>Leader đã đăng nhập</t>
  </si>
  <si>
    <t>Kiểm tra truy cập menu Cần duyệt</t>
  </si>
  <si>
    <t>1. Vào menu “Phê duyệt cấp đơn”
2. Chọn “Cần duyệt”</t>
  </si>
  <si>
    <t>Hệ thống hiển thị danh sách hồ sơ đang chờ duyệt</t>
  </si>
  <si>
    <t>Là Leader, tôi muốn xem số lượng hồ sơ cần duyệt</t>
  </si>
  <si>
    <t>Hiển thị badge</t>
  </si>
  <si>
    <t>Có hồ sơ chờ duyệt</t>
  </si>
  <si>
    <t>Kiểm tra badge số lượng</t>
  </si>
  <si>
    <t>1. Quan sát menu “Cần duyệt”</t>
  </si>
  <si>
    <t>Badge màu đỏ hiển thị đúng số lượng hồ sơ</t>
  </si>
  <si>
    <t>Là Leader, tôi muốn xem tất cả hồ sơ</t>
  </si>
  <si>
    <t>Tab Tất cả</t>
  </si>
  <si>
    <t>Đang ở màn hình Cần duyệt</t>
  </si>
  <si>
    <t>Kiểm tra tab “Tất cả”</t>
  </si>
  <si>
    <t>1. Nhấn tab “Tất cả”</t>
  </si>
  <si>
    <t>Hiển thị toàn bộ hồ sơ chờ duyệt</t>
  </si>
  <si>
    <t>Là Leader, tôi muốn lọc hồ sơ chờ duyệt công ty</t>
  </si>
  <si>
    <t>Lọc theo loại</t>
  </si>
  <si>
    <t>Có dữ liệu “Chờ duyệt công ty”</t>
  </si>
  <si>
    <t>Kiểm tra tab lọc</t>
  </si>
  <si>
    <t>1. Nhấn tab “Chờ duyệt công ty”</t>
  </si>
  <si>
    <t>Chỉ hiển thị hồ sơ đúng loại</t>
  </si>
  <si>
    <t>Là Leader, tôi muốn lọc hồ sơ chờ duyệt năng lực</t>
  </si>
  <si>
    <t>Có dữ liệu “Chờ duyệt năng lực”</t>
  </si>
  <si>
    <t>1. Nhấn tab “Chờ duyệt năng lực”</t>
  </si>
  <si>
    <t>Chỉ hiển thị hồ sơ chờ duyệt năng lực</t>
  </si>
  <si>
    <t>Là Leader, tôi muốn lọc hồ sơ chờ duyệt phụ lục</t>
  </si>
  <si>
    <t>Có dữ liệu “Chờ duyệt phụ lục”</t>
  </si>
  <si>
    <t>1. Nhấn tab “Chờ duyệt phụ lục”</t>
  </si>
  <si>
    <t>Chỉ hiển thị hồ sơ phụ lục</t>
  </si>
  <si>
    <t>Là Leader, tôi muốn xem thông tin tổng quan mỗi hồ sơ</t>
  </si>
  <si>
    <t>Kiểm tra cột thông tin</t>
  </si>
  <si>
    <t>Hiển thị đầy đủ: Status, Yêu cầu, Nội dung, Người đề xuất, Ngày tạo</t>
  </si>
  <si>
    <t>Là Leader, tôi muốn phân biệt trạng thái bằng màu</t>
  </si>
  <si>
    <t>Màu trạng thái</t>
  </si>
  <si>
    <t>Kiểm tra hiển thị màu</t>
  </si>
  <si>
    <t>1. Quan sát cột Status</t>
  </si>
  <si>
    <t>Màu hiển thị đúng: Cam/Xanh lá/Xanh dương</t>
  </si>
  <si>
    <t>Là Leader, tôi muốn mở nhanh chi tiết để duyệt</t>
  </si>
  <si>
    <t>Mở rộng nhanh</t>
  </si>
  <si>
    <t>Có hồ sơ trong danh sách</t>
  </si>
  <si>
    <t>Kiểm tra icon mở rộng</t>
  </si>
  <si>
    <t>1. Nhấn icon mũi tên</t>
  </si>
  <si>
    <t>Mở panel/chi tiết phê duyệt nhanh</t>
  </si>
  <si>
    <t>Là Leader, tôi muốn xem nội dung phê duyệt</t>
  </si>
  <si>
    <t>Xem nội dung</t>
  </si>
  <si>
    <t>Đã mở chi tiết</t>
  </si>
  <si>
    <t>1. Quan sát nội dung phê duyệt</t>
  </si>
  <si>
    <t>Nội dung hiển thị đúng theo hồ sơ</t>
  </si>
  <si>
    <t>Là Leader, tôi muốn truy cập danh sách đã duyệt</t>
  </si>
  <si>
    <t>Xem lịch sử</t>
  </si>
  <si>
    <t>Có hồ sơ đã duyệt</t>
  </si>
  <si>
    <t>Kiểm tra menu Đã duyệt</t>
  </si>
  <si>
    <t>1. Nhấn “Đã duyệt”</t>
  </si>
  <si>
    <t>Hiển thị danh sách hồ sơ đã xử lý</t>
  </si>
  <si>
    <t>Là Leader, tôi không muốn thấy hồ sơ đã duyệt trong Cần duyệt</t>
  </si>
  <si>
    <t>Phân luồng dữ liệu</t>
  </si>
  <si>
    <t>Kiểm tra phân loại</t>
  </si>
  <si>
    <t>1. So sánh 2 danh sách</t>
  </si>
  <si>
    <t>Hồ sơ không bị trùng giữa 2 tab</t>
  </si>
  <si>
    <t>Là Leader, tôi muốn hệ thống xử lý khi không có dữ liệu</t>
  </si>
  <si>
    <t>Empty state</t>
  </si>
  <si>
    <t>Không có hồ sơ chờ duyệt</t>
  </si>
  <si>
    <t>Kiểm tra trạng thái rỗng</t>
  </si>
  <si>
    <t>1. Truy cập tab không có dữ liệu</t>
  </si>
  <si>
    <t>Hiển thị empty state phù hợp</t>
  </si>
  <si>
    <t>Là Leader, tôi muốn dữ liệu không bị đổi khi reload</t>
  </si>
  <si>
    <t>Giữ trạng thái</t>
  </si>
  <si>
    <t>Đang ở tab lọc</t>
  </si>
  <si>
    <t>Kiểm tra reload</t>
  </si>
  <si>
    <t>1. Chọn tab bất kỳ
2. Refresh trang</t>
  </si>
  <si>
    <t>Tab và dữ liệu vẫn được giữ</t>
  </si>
  <si>
    <t>Là Leader, tôi muốn đảm bảo bảo mật dữ liệu</t>
  </si>
  <si>
    <t>User không phải Leader</t>
  </si>
  <si>
    <t>1. Đăng nhập user thường
2. Truy cập menu</t>
  </si>
  <si>
    <t>Không thấy hoặc không truy cập được</t>
  </si>
  <si>
    <t>Leader Xem chi tiết và phê duyệt công ty (Phê Duyệt B1)</t>
  </si>
  <si>
    <t>Là Leader, tôi muốn mở xem nhanh hồ sơ cần duyệt</t>
  </si>
  <si>
    <t>Phê duyệt công ty</t>
  </si>
  <si>
    <t>Mở xem nhanh</t>
  </si>
  <si>
    <t>Hồ sơ ở trạng thái “Chờ duyệt công ty”</t>
  </si>
  <si>
    <t>Kiểm tra mở khung xem nhanh</t>
  </si>
  <si>
    <t>1. Vào danh sách Cần duyệt
2. Nhấn icon mũi tên cuối dòng</t>
  </si>
  <si>
    <t>Khung thông tin tóm tắt được mở</t>
  </si>
  <si>
    <t>Là Leader, tôi muốn xem đúng tiêu đề hồ sơ</t>
  </si>
  <si>
    <t>Hiển thị tiêu đề</t>
  </si>
  <si>
    <t>Đã mở xem nhanh</t>
  </si>
  <si>
    <t>Kiểm tra tiêu đề</t>
  </si>
  <si>
    <t>1. Quan sát tiêu đề trên cùng</t>
  </si>
  <si>
    <t>Hiển thị đúng tên hồ sơ + năm</t>
  </si>
  <si>
    <t>Là Leader, tôi muốn biết ai là người đề xuất</t>
  </si>
  <si>
    <t>Thông tin người đề xuất</t>
  </si>
  <si>
    <t>Kiểm tra người đề xuất</t>
  </si>
  <si>
    <t>1. Quan sát thông tin đầu trang</t>
  </si>
  <si>
    <t>Hiển thị đúng tên người đề xuất</t>
  </si>
  <si>
    <t>Là Leader, tôi muốn kiểm tra trạng thái hiện tại</t>
  </si>
  <si>
    <t>Hồ sơ chưa duyệt</t>
  </si>
  <si>
    <t>Kiểm tra trạng thái</t>
  </si>
  <si>
    <t>1. Quan sát nhãn trạng thái</t>
  </si>
  <si>
    <t>Hiển thị “Chờ duyệt công ty”, đúng màu cam</t>
  </si>
  <si>
    <t>Là Leader, tôi muốn xem nhanh giá trị tham gia BH</t>
  </si>
  <si>
    <t>Thẻ thông tin</t>
  </si>
  <si>
    <t>Có dữ liệu thống kê</t>
  </si>
  <si>
    <t>Kiểm tra thẻ Giá trị BH</t>
  </si>
  <si>
    <t>1. Quan sát thẻ bên trái</t>
  </si>
  <si>
    <t>Hiển thị đúng tổng giá trị BH</t>
  </si>
  <si>
    <t>Là Leader, tôi muốn xem nhanh tổng phí bảo hiểm</t>
  </si>
  <si>
    <t>Kiểm tra thẻ Tổng phí</t>
  </si>
  <si>
    <t>1. Quan sát thẻ Tổng phí</t>
  </si>
  <si>
    <t>Hiển thị đúng tổng phí BH</t>
  </si>
  <si>
    <t>Là Leader, tôi muốn xem danh sách công ty đề xuất</t>
  </si>
  <si>
    <t>Có công ty được đề xuất</t>
  </si>
  <si>
    <t>1. Quan sát mục Công ty BH đề xuất</t>
  </si>
  <si>
    <t>Hiển thị đầy đủ các công ty được chọn</t>
  </si>
  <si>
    <t>Là Leader, tôi muốn kiểm tra số lượng công ty đề xuất</t>
  </si>
  <si>
    <t>Có ≥ 1 công ty</t>
  </si>
  <si>
    <t>Kiểm tra điều kiện</t>
  </si>
  <si>
    <t>1. Quan sát danh sách</t>
  </si>
  <si>
    <t>Luôn có ít nhất 1 công ty</t>
  </si>
  <si>
    <t>Là Leader, tôi muốn xem tỷ lệ phí đề xuất</t>
  </si>
  <si>
    <t>Tỷ lệ phí</t>
  </si>
  <si>
    <t>Có dữ liệu tỷ lệ</t>
  </si>
  <si>
    <t>Kiểm tra bảng tỷ lệ</t>
  </si>
  <si>
    <t>1. Quan sát bảng Tỷ lệ phí BH</t>
  </si>
  <si>
    <t>Hiển thị đúng % theo từng phạm vi</t>
  </si>
  <si>
    <t>Là Leader, tôi muốn đối chiếu tỷ lệ với lịch sử</t>
  </si>
  <si>
    <t>Biểu đồ lịch sử</t>
  </si>
  <si>
    <t>Có dữ liệu 2022–2024</t>
  </si>
  <si>
    <t>Kiểm tra biểu đồ</t>
  </si>
  <si>
    <t>1. Quan sát biểu đồ</t>
  </si>
  <si>
    <t>Biểu đồ hiển thị đúng dữ liệu theo năm</t>
  </si>
  <si>
    <t>Là Leader, tôi muốn phát hiện tỷ lệ bất thường</t>
  </si>
  <si>
    <t>Case ẩn – nghiệp vụ</t>
  </si>
  <si>
    <t>Có dữ liệu chênh lệch</t>
  </si>
  <si>
    <t>Kiểm tra logic</t>
  </si>
  <si>
    <t>1. So sánh tỷ lệ các năm</t>
  </si>
  <si>
    <t>Có thể nhận diện sự tăng/giảm bất thường</t>
  </si>
  <si>
    <t>Là Leader, tôi muốn duyệt nhanh hồ sơ</t>
  </si>
  <si>
    <t>Duyệt nhanh</t>
  </si>
  <si>
    <t>Hồ sơ hợp lệ</t>
  </si>
  <si>
    <t>Kiểm tra duyệt</t>
  </si>
  <si>
    <t>1. Nhấn “Chấp nhận danh sách công ty”</t>
  </si>
  <si>
    <t>Hồ sơ được duyệt thành công</t>
  </si>
  <si>
    <t>Là Leader, tôi muốn hệ thống lưu trạng thái sau khi duyệt</t>
  </si>
  <si>
    <t>Cập nhật trạng thái</t>
  </si>
  <si>
    <t>Đã nhấn duyệt</t>
  </si>
  <si>
    <t>Kiểm tra hậu xử lý</t>
  </si>
  <si>
    <t>1. Duyệt hồ sơ
2. Quay lại danh sách</t>
  </si>
  <si>
    <t>Hồ sơ biến mất khỏi “Cần duyệt”</t>
  </si>
  <si>
    <t>Là Leader, tôi muốn xem chi tiết đầy đủ</t>
  </si>
  <si>
    <t>Kiểm tra điều hướng</t>
  </si>
  <si>
    <t>1. Nhấn “Xem chi tiết và chỉnh sửa”</t>
  </si>
  <si>
    <t>Điều hướng sang màn hình chi tiết</t>
  </si>
  <si>
    <t>Là Leader, tôi muốn yêu cầu chỉnh sửa</t>
  </si>
  <si>
    <t>Hồ sơ chưa phù hợp</t>
  </si>
  <si>
    <t>Kiểm tra modal</t>
  </si>
  <si>
    <t>1. Nhấn “Yêu cầu chỉnh sửa”</t>
  </si>
  <si>
    <t>Hiển thị modal nhập nội dung</t>
  </si>
  <si>
    <t>Là Leader, tôi không thể gửi yêu cầu trống</t>
  </si>
  <si>
    <t>Case ẩn – validate</t>
  </si>
  <si>
    <t>1. Không nhập nội dung
2. Nhấn Gửi</t>
  </si>
  <si>
    <t>Hệ thống chặn và hiển thị lỗi</t>
  </si>
  <si>
    <t>Là Leader, tôi muốn đóng modal yêu cầu chỉnh sửa</t>
  </si>
  <si>
    <t>Đóng modal</t>
  </si>
  <si>
    <t>Kiểm tra đóng</t>
  </si>
  <si>
    <t>Modal đóng, không lưu dữ liệu</t>
  </si>
  <si>
    <t>Là Leader, tôi không thể duyệt khi dữ liệu lỗi</t>
  </si>
  <si>
    <t>Case ẩn – hệ thống</t>
  </si>
  <si>
    <t>Dữ liệu không hợp lệ</t>
  </si>
  <si>
    <t>Kiểm tra chặn</t>
  </si>
  <si>
    <t>1. Nhấn duyệt</t>
  </si>
  <si>
    <t>Hệ thống hiển thị thông báo lỗi</t>
  </si>
  <si>
    <t>Là Leader, tôi muốn đảm bảo quyền truy cập</t>
  </si>
  <si>
    <t>1. Đăng nhập user thường</t>
  </si>
  <si>
    <t>Không thấy nút duyệt</t>
  </si>
  <si>
    <t>Là Leader, tôi muốn dữ liệu không thay đổi khi reload</t>
  </si>
  <si>
    <t>Case ẩn – reload</t>
  </si>
  <si>
    <t>Đang xem nhanh</t>
  </si>
  <si>
    <t>1. Refresh trang</t>
  </si>
  <si>
    <t>Dữ liệu hiển thị không bị sai</t>
  </si>
  <si>
    <t>Leader Xem chi tiết và phê duyệt năng lực (Phê Duyệt B2)</t>
  </si>
  <si>
    <t>Là Leader, tôi muốn xác định đúng hồ sơ đang duyệt</t>
  </si>
  <si>
    <t>Phê duyệt năng lực</t>
  </si>
  <si>
    <t>Xác định hồ sơ</t>
  </si>
  <si>
    <t>Hồ sơ ở trạng thái “Chờ duyệt năng lực”</t>
  </si>
  <si>
    <t>Kiểm tra tiêu đề và mã HD</t>
  </si>
  <si>
    <t>1. Mở màn hình chi tiết
2. Quan sát tiêu đề &amp; mã tham chiếu</t>
  </si>
  <si>
    <t>Hiển thị đúng tên hợp đồng và mã HD</t>
  </si>
  <si>
    <t>Là Leader, tôi muốn xem người đề xuất hồ sơ</t>
  </si>
  <si>
    <t>Thông tin người tạo</t>
  </si>
  <si>
    <t>Là Leader, tôi muốn kiểm tra trạng thái hồ sơ</t>
  </si>
  <si>
    <t>Hiển thị “Chờ duyệt năng lực”, đúng màu</t>
  </si>
  <si>
    <t>Là Leader, tôi muốn xem tổng quan tài chính</t>
  </si>
  <si>
    <t>Kiểm tra chỉ số</t>
  </si>
  <si>
    <t>1. Quan sát 2 thẻ đầu trang</t>
  </si>
  <si>
    <t>Hiển thị đúng Giá trị BH và Tổng phí</t>
  </si>
  <si>
    <t>Là Leader, tôi muốn tham khảo cơ cấu các công ty</t>
  </si>
  <si>
    <t>Biểu đồ cơ cấu</t>
  </si>
  <si>
    <t>1. Quan sát biểu đồ cơ cấu</t>
  </si>
  <si>
    <t>Biểu đồ hiển thị đúng theo năm</t>
  </si>
  <si>
    <t>Là Leader, tôi muốn phân tích lịch sử khách hàng</t>
  </si>
  <si>
    <t>Đánh giá xu hướng</t>
  </si>
  <si>
    <t>1. Quan sát biểu đồ lịch sử</t>
  </si>
  <si>
    <t>Dữ liệu hiển thị đầy đủ, không sai lệch</t>
  </si>
  <si>
    <t>Có ≥1 công ty</t>
  </si>
  <si>
    <t>1. Quan sát bảng quyết định</t>
  </si>
  <si>
    <t>Hiển thị đầy đủ các công ty</t>
  </si>
  <si>
    <t>Là Leader, tôi muốn chỉnh tỷ lệ tham gia</t>
  </si>
  <si>
    <t>Chỉnh tỷ lệ</t>
  </si>
  <si>
    <t>Có quyền Leader</t>
  </si>
  <si>
    <t>Sửa trực tiếp tỷ lệ</t>
  </si>
  <si>
    <t>1. Nhập % mới vào ô tỷ lệ</t>
  </si>
  <si>
    <t>Hệ thống tự tính lại năng lực</t>
  </si>
  <si>
    <t>Là Leader, tôi không được nhập % âm</t>
  </si>
  <si>
    <t xml:space="preserve">  validate</t>
  </si>
  <si>
    <t>Ô nhập liệu mở</t>
  </si>
  <si>
    <t>1. Nhập giá trị âm</t>
  </si>
  <si>
    <t>Là Leader, tôi không được nhập % &gt; 100</t>
  </si>
  <si>
    <t>1. Nhập 101</t>
  </si>
  <si>
    <t>Hệ thống chặn và cảnh báo</t>
  </si>
  <si>
    <t>Là Leader, tôi muốn tổng tỷ lệ = 100%</t>
  </si>
  <si>
    <t xml:space="preserve"> nghiệp vụ</t>
  </si>
  <si>
    <t>Có ≥2 công ty</t>
  </si>
  <si>
    <t>Kiểm tra tổng</t>
  </si>
  <si>
    <t>1. Nhập tổng ≠ 100</t>
  </si>
  <si>
    <t>Hệ thống cảnh báo không cho duyệt</t>
  </si>
  <si>
    <t>Là Leader, tôi muốn loại bỏ công ty</t>
  </si>
  <si>
    <t>Xóa công ty</t>
  </si>
  <si>
    <t>Công ty chưa khóa</t>
  </si>
  <si>
    <t>Xóa đơn vị</t>
  </si>
  <si>
    <t>Công ty bị loại khỏi danh sách</t>
  </si>
  <si>
    <t>Là Leader, tôi không thể xóa công ty duy nhất</t>
  </si>
  <si>
    <t xml:space="preserve">  nghiệp vụ</t>
  </si>
  <si>
    <t>Chỉ còn 1 công ty</t>
  </si>
  <si>
    <t>1. Nhấn xóa</t>
  </si>
  <si>
    <t>Hệ thống không cho phép</t>
  </si>
  <si>
    <t>Là Leader, tôi muốn thêm công ty mới</t>
  </si>
  <si>
    <t>Có công ty khả dụng</t>
  </si>
  <si>
    <t>Thêm liên danh</t>
  </si>
  <si>
    <t>1. Nhấn “+ Thêm công ty”
2. Chọn công ty</t>
  </si>
  <si>
    <t>Công ty được thêm vào danh sách</t>
  </si>
  <si>
    <t>Là Leader, tôi không được thêm trùng công ty</t>
  </si>
  <si>
    <t>Kiểm tra trùng</t>
  </si>
  <si>
    <t>1. Thêm công ty trùng</t>
  </si>
  <si>
    <t>Là Leader, tôi muốn xem bản chào phí</t>
  </si>
  <si>
    <t>Xem bản chào</t>
  </si>
  <si>
    <t>1. Nhấn “Xem bản chào phí”</t>
  </si>
  <si>
    <t>Điều hướng đúng màn hình</t>
  </si>
  <si>
    <t>Mở modal</t>
  </si>
  <si>
    <t>validate</t>
  </si>
  <si>
    <t>Modal mở</t>
  </si>
  <si>
    <t>1. Không nhập nội dung
2. Gửi</t>
  </si>
  <si>
    <t>Hệ thống chặn và báo lỗi</t>
  </si>
  <si>
    <t>Là Leader, tôi muốn lưu và duyệt hồ sơ</t>
  </si>
  <si>
    <t>Phê duyệt</t>
  </si>
  <si>
    <t>Duyệt hồ sơ</t>
  </si>
  <si>
    <t>1. Nhấn “Lưu và chấp nhận”</t>
  </si>
  <si>
    <t>Là Leader, tôi muốn trạng thái được cập nhật</t>
  </si>
  <si>
    <t>Hậu xử lý</t>
  </si>
  <si>
    <t>Đã duyệt</t>
  </si>
  <si>
    <t>1. Quay lại danh sách</t>
  </si>
  <si>
    <t>Hồ sơ biến mất khỏi “Chờ duyệt”</t>
  </si>
  <si>
    <t>Là Leader, tôi không thể duyệt khi tổng % ≠ 100</t>
  </si>
  <si>
    <t>nghiệp vụ</t>
  </si>
  <si>
    <t>Tổng % sai</t>
  </si>
  <si>
    <t>Hệ thống không cho duyệt</t>
  </si>
  <si>
    <t>Là Leader, tôi không có quyền nếu không phải Leader</t>
  </si>
  <si>
    <t>User thường</t>
  </si>
  <si>
    <t>Kiểm tra quyền</t>
  </si>
  <si>
    <t>Là Leader, tôi muốn dữ liệu không đổi khi reload</t>
  </si>
  <si>
    <t>reload</t>
  </si>
  <si>
    <t>Đang chỉnh</t>
  </si>
  <si>
    <t>Dữ liệu được giữ đúng</t>
  </si>
  <si>
    <t>Leader Xem chi tiết và phê duyệt Phụ Lục</t>
  </si>
  <si>
    <t>Leader phê duyệt phụ lục</t>
  </si>
  <si>
    <t>Phê duyệt phụ lục</t>
  </si>
  <si>
    <t>Hiển thị tiêu đề phụ lục</t>
  </si>
  <si>
    <r>
      <t xml:space="preserve">Leader đã đăng nhập; Hồ sơ ở trạng thái </t>
    </r>
    <r>
      <rPr>
        <b/>
        <sz val="11"/>
        <color theme="1"/>
        <rFont val="Aptos Narrow"/>
        <family val="2"/>
        <scheme val="minor"/>
      </rPr>
      <t>Chờ duyệt phụ lục</t>
    </r>
  </si>
  <si>
    <t>Kiểm tra hiển thị đúng tiêu đề phụ lục</t>
  </si>
  <si>
    <r>
      <rPr>
        <sz val="11"/>
        <color rgb="FF000000"/>
        <rFont val="Aptos Narrow"/>
        <scheme val="minor"/>
      </rPr>
      <t xml:space="preserve">1. Truy cập danh sách </t>
    </r>
    <r>
      <rPr>
        <b/>
        <sz val="11"/>
        <color rgb="FF000000"/>
        <rFont val="Aptos Narrow"/>
        <scheme val="minor"/>
      </rPr>
      <t>Cần duyệt</t>
    </r>
    <r>
      <rPr>
        <sz val="11"/>
        <color rgb="FF000000"/>
        <rFont val="Aptos Narrow"/>
        <scheme val="minor"/>
      </rPr>
      <t>;
 2. Mở hồ sơ phụ lục</t>
    </r>
  </si>
  <si>
    <t>Hiển thị đúng tiêu đề phụ lục dạng “Bổ sung bảo hiểm cho các hạng mục…”</t>
  </si>
  <si>
    <t>Hồ sơ ở trạng thái chờ duyệt</t>
  </si>
  <si>
    <t>Kiểm tra trạng thái phụ lục</t>
  </si>
  <si>
    <t>1. Mở chi tiết phụ lục</t>
  </si>
  <si>
    <r>
      <t xml:space="preserve">Nhãn trạng thái hiển thị </t>
    </r>
    <r>
      <rPr>
        <b/>
        <sz val="11"/>
        <color theme="1"/>
        <rFont val="Aptos Narrow"/>
        <family val="2"/>
        <scheme val="minor"/>
      </rPr>
      <t>Chờ duyệt phụ lục</t>
    </r>
  </si>
  <si>
    <t>Hiển thị người đề xuất</t>
  </si>
  <si>
    <t>Có thông tin người tạo</t>
  </si>
  <si>
    <t>Kiểm tra thông tin người đề xuất</t>
  </si>
  <si>
    <r>
      <t xml:space="preserve">Hiển thị đúng tên </t>
    </r>
    <r>
      <rPr>
        <b/>
        <sz val="11"/>
        <color theme="1"/>
        <rFont val="Aptos Narrow"/>
        <family val="2"/>
        <scheme val="minor"/>
      </rPr>
      <t>Người đề xuất</t>
    </r>
  </si>
  <si>
    <t>Hiển thị ngày tạo hồ sơ</t>
  </si>
  <si>
    <t>Có ngày tạo</t>
  </si>
  <si>
    <t>Kiểm tra ngày tạo hồ sơ</t>
  </si>
  <si>
    <r>
      <t xml:space="preserve">Hiển thị đúng </t>
    </r>
    <r>
      <rPr>
        <b/>
        <sz val="11"/>
        <color theme="1"/>
        <rFont val="Aptos Narrow"/>
        <family val="2"/>
        <scheme val="minor"/>
      </rPr>
      <t>Ngày tạo hồ sơ</t>
    </r>
  </si>
  <si>
    <t>Link hợp đồng gốc</t>
  </si>
  <si>
    <t>Phụ lục có hợp đồng gốc</t>
  </si>
  <si>
    <t>Truy xuất hợp đồng gốc</t>
  </si>
  <si>
    <r>
      <t xml:space="preserve">1. Nhấn link </t>
    </r>
    <r>
      <rPr>
        <b/>
        <sz val="11"/>
        <color theme="1"/>
        <rFont val="Aptos Narrow"/>
        <family val="2"/>
        <scheme val="minor"/>
      </rPr>
      <t>Tên hợp đồng chính</t>
    </r>
  </si>
  <si>
    <t>Điều hướng sang màn hình chi tiết hợp đồng gốc</t>
  </si>
  <si>
    <t>Tóm tắt nội dung phụ lục</t>
  </si>
  <si>
    <t>Có dữ liệu phụ lục</t>
  </si>
  <si>
    <t>Kiểm tra nội dung tóm tắt</t>
  </si>
  <si>
    <r>
      <t xml:space="preserve">1. Quan sát khối </t>
    </r>
    <r>
      <rPr>
        <b/>
        <sz val="11"/>
        <color theme="1"/>
        <rFont val="Aptos Narrow"/>
        <family val="2"/>
        <scheme val="minor"/>
      </rPr>
      <t>Tóm tắt nội dung phụ lục</t>
    </r>
  </si>
  <si>
    <t>Hiển thị đầy đủ các mục: tăng/giảm STBH; hiệu lực; tỷ lệ phí</t>
  </si>
  <si>
    <t>Hiển thị phí hiện tại</t>
  </si>
  <si>
    <t>Có hợp đồng gốc</t>
  </si>
  <si>
    <t>Kiểm tra phí hiện tại</t>
  </si>
  <si>
    <r>
      <t xml:space="preserve">1. Xem mục </t>
    </r>
    <r>
      <rPr>
        <b/>
        <sz val="11"/>
        <color theme="1"/>
        <rFont val="Aptos Narrow"/>
        <family val="2"/>
        <scheme val="minor"/>
      </rPr>
      <t>Phí bảo hiểm</t>
    </r>
  </si>
  <si>
    <r>
      <t xml:space="preserve">Hiển thị đúng </t>
    </r>
    <r>
      <rPr>
        <b/>
        <sz val="11"/>
        <color theme="1"/>
        <rFont val="Aptos Narrow"/>
        <family val="2"/>
        <scheme val="minor"/>
      </rPr>
      <t>Phí bảo hiểm hiện tại (bao gồm VAT)</t>
    </r>
  </si>
  <si>
    <t>Hiển thị phí điều chỉnh</t>
  </si>
  <si>
    <t>Có điều chỉnh phí</t>
  </si>
  <si>
    <t>Kiểm tra phí điều chỉnh</t>
  </si>
  <si>
    <r>
      <t xml:space="preserve">1. Xem dòng </t>
    </r>
    <r>
      <rPr>
        <b/>
        <sz val="11"/>
        <color theme="1"/>
        <rFont val="Aptos Narrow"/>
        <family val="2"/>
        <scheme val="minor"/>
      </rPr>
      <t>Phí bảo hiểm điều chỉnh / bổ sung</t>
    </r>
  </si>
  <si>
    <t>Hiển thị đúng giá trị điều chỉnh</t>
  </si>
  <si>
    <t>Hiển thị phí phải thanh toán</t>
  </si>
  <si>
    <t>Có phát sinh tiền</t>
  </si>
  <si>
    <t>Kiểm tra số tiền cần thanh toán</t>
  </si>
  <si>
    <r>
      <t xml:space="preserve">1. Xem dòng </t>
    </r>
    <r>
      <rPr>
        <b/>
        <sz val="11"/>
        <color theme="1"/>
        <rFont val="Aptos Narrow"/>
        <family val="2"/>
        <scheme val="minor"/>
      </rPr>
      <t>Phí phải thanh toán còn lại</t>
    </r>
  </si>
  <si>
    <t>Hiển thị đúng số tiền cần thu thêm hoặc hoàn trả</t>
  </si>
  <si>
    <t>Hiển thị ngày hết hạn</t>
  </si>
  <si>
    <t>Có ngày hết hạn</t>
  </si>
  <si>
    <t>Kiểm tra ngày hết hạn hợp đồng</t>
  </si>
  <si>
    <r>
      <t xml:space="preserve">1. Quan sát trường </t>
    </r>
    <r>
      <rPr>
        <b/>
        <sz val="11"/>
        <color theme="1"/>
        <rFont val="Aptos Narrow"/>
        <family val="2"/>
        <scheme val="minor"/>
      </rPr>
      <t>Ngày hết hạn hợp đồng</t>
    </r>
  </si>
  <si>
    <t>Hiển thị đúng định dạng ngày giờ</t>
  </si>
  <si>
    <t>Ghi chú người đề xuất</t>
  </si>
  <si>
    <t>Có ghi chú</t>
  </si>
  <si>
    <t>Đọc ghi chú nghiệp vụ</t>
  </si>
  <si>
    <r>
      <t xml:space="preserve">1. Xem mục </t>
    </r>
    <r>
      <rPr>
        <b/>
        <sz val="11"/>
        <color theme="1"/>
        <rFont val="Aptos Narrow"/>
        <family val="2"/>
        <scheme val="minor"/>
      </rPr>
      <t>Ghi chú của người đề xuất</t>
    </r>
  </si>
  <si>
    <t>Hiển thị đầy đủ nội dung ghi chú</t>
  </si>
  <si>
    <t>Leader đồng ý nội dung</t>
  </si>
  <si>
    <r>
      <t xml:space="preserve">1. Nhấn </t>
    </r>
    <r>
      <rPr>
        <b/>
        <sz val="11"/>
        <color theme="1"/>
        <rFont val="Aptos Narrow"/>
        <family val="2"/>
        <scheme val="minor"/>
      </rPr>
      <t>Phê duyệt phụ lục</t>
    </r>
  </si>
  <si>
    <t>Phụ lục được phê duyệt; Trạng thái cập nhật; Điều hướng về danh sách</t>
  </si>
  <si>
    <t>Không muốn phê duyệt</t>
  </si>
  <si>
    <t>Thoát màn hình chi tiết</t>
  </si>
  <si>
    <t>Trở về màn hình trước; Không thay đổi trạng thái</t>
  </si>
  <si>
    <t>Phân biệt tăng / giảm STBH</t>
  </si>
  <si>
    <t>Có 2 loại phụ lục</t>
  </si>
  <si>
    <t>Kiểm tra hiển thị tăng/giảm</t>
  </si>
  <si>
    <t>1. Mở phụ lục tăng STBH; 
2. Mở phụ lục giảm STBH</t>
  </si>
  <si>
    <t>Nội dung hiển thị đúng theo từng loại phụ lục</t>
  </si>
  <si>
    <t>Dữ liệu đầy đủ</t>
  </si>
  <si>
    <t>Kiểm tra tính nhất quán</t>
  </si>
  <si>
    <t>1. So sánh số liệu giữa các khối</t>
  </si>
  <si>
    <t>Các số liệu khớp logic, không mâu thuẫn</t>
  </si>
  <si>
    <t>Leader Trang Đã duyệt</t>
  </si>
  <si>
    <t>Leader/Admin xem lịch sử phê duyệt</t>
  </si>
  <si>
    <t>Truy cập danh sách đã duyệt</t>
  </si>
  <si>
    <t>Người dùng đã đăng nhập với quyền Leader/Admin</t>
  </si>
  <si>
    <t>Truy cập màn hình Đã duyệt</t>
  </si>
  <si>
    <r>
      <rPr>
        <sz val="11"/>
        <color rgb="FF000000"/>
        <rFont val="Aptos Narrow"/>
        <scheme val="minor"/>
      </rPr>
      <t xml:space="preserve">1. Mở menu bên trái;
 2. Chọn </t>
    </r>
    <r>
      <rPr>
        <b/>
        <sz val="11"/>
        <color rgb="FF000000"/>
        <rFont val="Aptos Narrow"/>
        <scheme val="minor"/>
      </rPr>
      <t>Phê duyệt cấp đơn</t>
    </r>
    <r>
      <rPr>
        <sz val="11"/>
        <color rgb="FF000000"/>
        <rFont val="Aptos Narrow"/>
        <scheme val="minor"/>
      </rPr>
      <t xml:space="preserve">; 
3. Chọn </t>
    </r>
    <r>
      <rPr>
        <b/>
        <sz val="11"/>
        <color rgb="FF000000"/>
        <rFont val="Aptos Narrow"/>
        <scheme val="minor"/>
      </rPr>
      <t>Đã duyệt</t>
    </r>
  </si>
  <si>
    <t>Màn hình hiển thị danh sách các hồ sơ đã phê duyệt</t>
  </si>
  <si>
    <t>Hiển thị tab mặc định</t>
  </si>
  <si>
    <t>Có dữ liệu đã duyệt</t>
  </si>
  <si>
    <t>Kiểm tra tab mặc định</t>
  </si>
  <si>
    <r>
      <t xml:space="preserve">1. Truy cập màn hình </t>
    </r>
    <r>
      <rPr>
        <b/>
        <sz val="11"/>
        <color theme="1"/>
        <rFont val="Aptos Narrow"/>
        <family val="2"/>
        <scheme val="minor"/>
      </rPr>
      <t>Đã duyệt</t>
    </r>
  </si>
  <si>
    <r>
      <t xml:space="preserve">Tab </t>
    </r>
    <r>
      <rPr>
        <b/>
        <sz val="11"/>
        <color theme="1"/>
        <rFont val="Aptos Narrow"/>
        <family val="2"/>
        <scheme val="minor"/>
      </rPr>
      <t>Tất cả</t>
    </r>
    <r>
      <rPr>
        <sz val="11"/>
        <color theme="1"/>
        <rFont val="Aptos Narrow"/>
        <family val="2"/>
        <scheme val="minor"/>
      </rPr>
      <t xml:space="preserve"> được chọn mặc định</t>
    </r>
  </si>
  <si>
    <t>Leader/Admin lọc hồ sơ đã duyệt</t>
  </si>
  <si>
    <t>Lọc theo loại phê duyệt</t>
  </si>
  <si>
    <t>Có nhiều loại phê duyệt</t>
  </si>
  <si>
    <t>Lọc theo từng loại</t>
  </si>
  <si>
    <r>
      <t xml:space="preserve">1. Nhấn tab </t>
    </r>
    <r>
      <rPr>
        <b/>
        <sz val="11"/>
        <color theme="1"/>
        <rFont val="Aptos Narrow"/>
        <family val="2"/>
        <scheme val="minor"/>
      </rPr>
      <t>Đã duyệt công ty</t>
    </r>
  </si>
  <si>
    <t>Danh sách chỉ hiển thị hồ sơ đã duyệt công ty</t>
  </si>
  <si>
    <t>Có dữ liệu tương ứng</t>
  </si>
  <si>
    <t>Lọc duyệt năng lực</t>
  </si>
  <si>
    <r>
      <t xml:space="preserve">1. Nhấn tab </t>
    </r>
    <r>
      <rPr>
        <b/>
        <sz val="11"/>
        <color theme="1"/>
        <rFont val="Aptos Narrow"/>
        <family val="2"/>
        <scheme val="minor"/>
      </rPr>
      <t>Đã duyệt năng lực</t>
    </r>
  </si>
  <si>
    <t>Chỉ hiển thị hồ sơ đã duyệt năng lực</t>
  </si>
  <si>
    <t>Lọc duyệt phụ lục</t>
  </si>
  <si>
    <r>
      <t xml:space="preserve">1. Nhấn tab </t>
    </r>
    <r>
      <rPr>
        <b/>
        <sz val="11"/>
        <color theme="1"/>
        <rFont val="Aptos Narrow"/>
        <family val="2"/>
        <scheme val="minor"/>
      </rPr>
      <t>Đã duyệt phụ lục</t>
    </r>
  </si>
  <si>
    <t>Chỉ hiển thị hồ sơ đã duyệt phụ lục</t>
  </si>
  <si>
    <t>Leader/Admin tra cứu hồ sơ</t>
  </si>
  <si>
    <t>Tìm kiếm hồ sơ</t>
  </si>
  <si>
    <t>Tìm kiếm theo từ khóa</t>
  </si>
  <si>
    <t>1. Nhập mã tham chiếu hoặc nội dung hợp đồng vào ô tìm kiếm</t>
  </si>
  <si>
    <t>Danh sách lọc đúng hồ sơ phù hợp</t>
  </si>
  <si>
    <t>Tìm kiếm không có kết quả</t>
  </si>
  <si>
    <t>Tìm kiếm sai từ khóa</t>
  </si>
  <si>
    <t>Danh sách hiển thị rỗng hoặc thông báo không có dữ liệu</t>
  </si>
  <si>
    <t>Leader/Admin xem thông tin hồ sơ</t>
  </si>
  <si>
    <t>Hiển thị cột Trạng thái</t>
  </si>
  <si>
    <r>
      <t xml:space="preserve">1. Quan sát cột </t>
    </r>
    <r>
      <rPr>
        <b/>
        <sz val="11"/>
        <color theme="1"/>
        <rFont val="Aptos Narrow"/>
        <family val="2"/>
        <scheme val="minor"/>
      </rPr>
      <t>Trạng thái</t>
    </r>
  </si>
  <si>
    <t>Trạng thái hiển thị đúng (Đã duyệt công ty / năng lực / phụ lục) và đúng màu</t>
  </si>
  <si>
    <t>Hiển thị loại yêu cầu</t>
  </si>
  <si>
    <t>Kiểm tra loại nghiệp vụ</t>
  </si>
  <si>
    <r>
      <t xml:space="preserve">1. Quan sát cột </t>
    </r>
    <r>
      <rPr>
        <b/>
        <sz val="11"/>
        <color theme="1"/>
        <rFont val="Aptos Narrow"/>
        <family val="2"/>
        <scheme val="minor"/>
      </rPr>
      <t>Yêu cầu</t>
    </r>
  </si>
  <si>
    <t>Hiển thị đúng: Cấp mới / Tái tục / Phụ lục</t>
  </si>
  <si>
    <t>Hiển thị nội dung phê duyệt</t>
  </si>
  <si>
    <t>Kiểm tra nội dung phê duyệt</t>
  </si>
  <si>
    <r>
      <t xml:space="preserve">1. Quan sát cột </t>
    </r>
    <r>
      <rPr>
        <b/>
        <sz val="11"/>
        <color theme="1"/>
        <rFont val="Aptos Narrow"/>
        <family val="2"/>
        <scheme val="minor"/>
      </rPr>
      <t>Nội dung phê duyệt</t>
    </r>
  </si>
  <si>
    <t>Hiển thị đúng nội dung hợp đồng</t>
  </si>
  <si>
    <t>Hiển thị người tạo</t>
  </si>
  <si>
    <t>Kiểm tra người tạo</t>
  </si>
  <si>
    <r>
      <t xml:space="preserve">1. Quan sát cột </t>
    </r>
    <r>
      <rPr>
        <b/>
        <sz val="11"/>
        <color theme="1"/>
        <rFont val="Aptos Narrow"/>
        <family val="2"/>
        <scheme val="minor"/>
      </rPr>
      <t>Người tạo</t>
    </r>
  </si>
  <si>
    <t>Hiển thị đúng tên người tạo hồ sơ</t>
  </si>
  <si>
    <t>Hiển thị ngày phê duyệt</t>
  </si>
  <si>
    <t>Kiểm tra thời điểm phê duyệt</t>
  </si>
  <si>
    <r>
      <t xml:space="preserve">1. Quan sát cột </t>
    </r>
    <r>
      <rPr>
        <b/>
        <sz val="11"/>
        <color theme="1"/>
        <rFont val="Aptos Narrow"/>
        <family val="2"/>
        <scheme val="minor"/>
      </rPr>
      <t>Ngày tạo hồ sơ / Ngày phê duyệt</t>
    </r>
  </si>
  <si>
    <t>Hiển thị đúng ngày giờ đã phê duyệt</t>
  </si>
  <si>
    <t>Leader/Admin sắp xếp dữ liệu</t>
  </si>
  <si>
    <t>Sắp xếp theo ngày</t>
  </si>
  <si>
    <t>Có nhiều bản ghi</t>
  </si>
  <si>
    <t>Sắp xếp theo thời gian</t>
  </si>
  <si>
    <r>
      <t xml:space="preserve">1. Nhấn tiêu đề cột </t>
    </r>
    <r>
      <rPr>
        <b/>
        <sz val="11"/>
        <color theme="1"/>
        <rFont val="Aptos Narrow"/>
        <family val="2"/>
        <scheme val="minor"/>
      </rPr>
      <t>Ngày phê duyệt</t>
    </r>
  </si>
  <si>
    <t>Danh sách sắp xếp tăng/giảm đúng theo ngày</t>
  </si>
  <si>
    <t>Leader/Admin xem lại hồ sơ</t>
  </si>
  <si>
    <t>Xem chi tiết hồ sơ</t>
  </si>
  <si>
    <t>Mở chi tiết hồ sơ</t>
  </si>
  <si>
    <r>
      <t xml:space="preserve">1. Nhấn </t>
    </r>
    <r>
      <rPr>
        <b/>
        <sz val="11"/>
        <color theme="1"/>
        <rFont val="Aptos Narrow"/>
        <family val="2"/>
        <scheme val="minor"/>
      </rPr>
      <t>Xem hợp đồng</t>
    </r>
  </si>
  <si>
    <r>
      <t xml:space="preserve">Mở màn hình chi tiết ở chế độ </t>
    </r>
    <r>
      <rPr>
        <b/>
        <sz val="11"/>
        <color theme="1"/>
        <rFont val="Aptos Narrow"/>
        <family val="2"/>
        <scheme val="minor"/>
      </rPr>
      <t>Chỉ xem (Read-only)</t>
    </r>
  </si>
  <si>
    <t>Leader/Admin kiểm tra quyền</t>
  </si>
  <si>
    <t>Kiểm tra quyền thao tác</t>
  </si>
  <si>
    <t>1. Mở chi tiết hồ sơ đã duyệt</t>
  </si>
  <si>
    <t>Không hiển thị nút Sửa/Phê duyệt</t>
  </si>
  <si>
    <t>Email và thông báo Zalo</t>
  </si>
  <si>
    <t>Gửi email xác nhận thanh toán đúng lịch</t>
  </si>
  <si>
    <t>Email xác nhận thanh toán</t>
  </si>
  <si>
    <t>Gửi tự động theo lịch</t>
  </si>
  <si>
    <t>Hợp đồng có kỳ hạn thanh toán và có email Công ty BH</t>
  </si>
  <si>
    <t>Hệ thống tự động gửi email nhắc xác nhận thanh toán trong 5 ngày trước hạn</t>
  </si>
  <si>
    <t>1. Tạo hợp đồng có hạn thanh toán;
 2. Chạy lịch gửi; 
3. Theo dõi email từ ngày -5 đến Deadline</t>
  </si>
  <si>
    <t>Email gửi đúng 5 ngày liên tiếp; dừng nếu CTBH xác nhận</t>
  </si>
  <si>
    <t>Kiểm tra nội dung email xác nhận thanh toán đúng mẫu</t>
  </si>
  <si>
    <t>Nội dung email</t>
  </si>
  <si>
    <t>Email đã được gửi</t>
  </si>
  <si>
    <t>Email phải chứa đầy đủ thông tin và đúng định dạng</t>
  </si>
  <si>
    <t>1. Mở email đã gửi; 
2. Kiểm tra các phần: tên khách hàng, mã hợp đồng, số tiền, deadline, link xác nhận</t>
  </si>
  <si>
    <t>Nội dung email đúng mẫu, thông tin hiển thị chính xác</t>
  </si>
  <si>
    <t>Kiểm tra link xác nhận thanh toán hoạt động</t>
  </si>
  <si>
    <t>Link xác nhận</t>
  </si>
  <si>
    <t>Email đã được gửi và CTBH click link</t>
  </si>
  <si>
    <t>Link xác nhận phải cập nhật trạng thái thanh toán</t>
  </si>
  <si>
    <t>1. Click link trong email; 
2. Quan sát hệ thống</t>
  </si>
  <si>
    <t>Hệ thống chuyển trạng thái sang “Đã xác nhận thanh toán” và dừng gửi nhắc</t>
  </si>
  <si>
    <t>Xử lý lỗi khi gửi email</t>
  </si>
  <si>
    <t>Lỗi gửi email</t>
  </si>
  <si>
    <t>Email CTBH bị sai hoặc không tồn tại</t>
  </si>
  <si>
    <t>Hệ thống ghi log lỗi nhưng không bị treo</t>
  </si>
  <si>
    <t>1. Thiết lập email sai; 
2. Chạy gửi</t>
  </si>
  <si>
    <t>Hệ thống ghi log lỗi; việc gửi các email khác vẫn hoạt động bình thường</t>
  </si>
  <si>
    <t>Gửi email đúng quy tắc theo loại hợp đồng</t>
  </si>
  <si>
    <t>Quy tắc ngày gửi</t>
  </si>
  <si>
    <t>HĐ 1 năm &lt;300M, HĐ 1 năm &gt;300M, HĐ 2 năm</t>
  </si>
  <si>
    <t>Hệ thống gửi email theo đúng ngày trong từng kỳ</t>
  </si>
  <si>
    <t>1. Tạo 3 hợp đồng; 
2. Chạy lịch; 
3. Quan sát email</t>
  </si>
  <si>
    <t>Các kỳ gửi đúng theo bảng quy tắc ngày gửi đã xác định</t>
  </si>
  <si>
    <t>Gửi tin nhắn Đề xuất cấp đơn đến Leader</t>
  </si>
  <si>
    <t>Tin nhắn Zalo</t>
  </si>
  <si>
    <t>Đề xuất cấp đơn</t>
  </si>
  <si>
    <t>Underwriter gửi đề xuất cấp đơn</t>
  </si>
  <si>
    <t>Leader nhận tin nhắn tóm tắt thông tin hồ sơ</t>
  </si>
  <si>
    <t>1. Underwriter gửi đề xuất; 2. Kiểm tra tin nhắn Leader</t>
  </si>
  <si>
    <t>Tin nhắn hiển thị: tên nhân viên, loại bảo hiểm, địa điểm, giá trị BH, tỉ lệ phí, link phê duyệt</t>
  </si>
  <si>
    <t>Gửi tin nhắn Phê duyệt đề xuất cấp đơn đến nhân viên</t>
  </si>
  <si>
    <t>Phê duyệt đề xuất cấp đơn</t>
  </si>
  <si>
    <t>Leader phê duyệt đề xuất</t>
  </si>
  <si>
    <t>Nhân viên nhận tin nhắn thông báo phê duyệt</t>
  </si>
  <si>
    <t>1. Leader bấm phê duyệt; 
2. Kiểm tra tin nhắn nhân viên</t>
  </si>
  <si>
    <t>Tin nhắn hiển thị danh sách công ty bảo hiểm đã duyệt và nút tải bản chào phí</t>
  </si>
  <si>
    <t>Gửi tin nhắn Báo cáo năng lực bảo hiểm đến Leader</t>
  </si>
  <si>
    <t>Báo cáo năng lực bảo hiểm</t>
  </si>
  <si>
    <t>Underwriter gửi báo cáo năng lực</t>
  </si>
  <si>
    <t>Tin nhắn thể hiện tổng năng lực và phần trăm từng công ty</t>
  </si>
  <si>
    <t>1. Underwriter gửi báo cáo; 
2. Kiểm tra tin nhắn Leader</t>
  </si>
  <si>
    <t>Tin nhắn hiển thị tổng %, % từng công ty, link phê duyệt</t>
  </si>
  <si>
    <t>Gửi tin nhắn Phê duyệt năng lực bảo hiểm đến nhân viên</t>
  </si>
  <si>
    <t>Phê duyệt năng lực bảo hiểm</t>
  </si>
  <si>
    <t>Leader duyệt năng lực</t>
  </si>
  <si>
    <t>Nhân viên nhận tin nhắn thông báo kết quả</t>
  </si>
  <si>
    <t>1. Leader duyệt năng lực; 
2. Kiểm tra tin nhắn nhân viên</t>
  </si>
  <si>
    <t>Tin nhắn hiển thị danh sách công ty và tỉ lệ được duyệt, cùng link xem kết quả</t>
  </si>
  <si>
    <t>Gửi email nhắc tái tục đúng thời điểm</t>
  </si>
  <si>
    <t>Email nhắc tái tục</t>
  </si>
  <si>
    <t>Gửi theo thời gian</t>
  </si>
  <si>
    <t>HĐ sắp hết hạn</t>
  </si>
  <si>
    <t>Hệ thống gửi email nhắc tái tục theo đúng quy tắc</t>
  </si>
  <si>
    <t>1. Tạo hợp đồng chuẩn; 
2. Chạy lịch gửi</t>
  </si>
  <si>
    <t>Email gửi đúng thời điểm: &lt;10 tỉ trước 45 ngày, &gt;10 tỉ trước 90 ngày</t>
  </si>
  <si>
    <t>Gửi email xác nhận thanh toán cho hợp đồng 1 năm dưới 300 triệu – Kỳ 1</t>
  </si>
  <si>
    <t>Gửi theo ngày quy định</t>
  </si>
  <si>
    <t>Hợp đồng 1 năm dưới 300 triệu, có email công ty bảo hiểm</t>
  </si>
  <si>
    <t>Hệ thống gửi email nhắc xác nhận thanh toán từ ngày thứ 25 đến ngày thứ 30 trước hạn thanh toán</t>
  </si>
  <si>
    <t>1) Tạo hợp đồng có hạn thanh toán; 
2) Chạy chức năng gửi nhắc theo thời gian; 
3) Theo dõi email công ty bảo hiểm trong ngày 25→30</t>
  </si>
  <si>
    <t>Email được gửi mỗi ngày từ ngày thứ 25 đến ngày thứ 30; nếu công ty bảo hiểm xác nhận thì không gửi nữa</t>
  </si>
  <si>
    <t>Kiểm tra hệ thống gửi đúng vào ngày đầu (25) và ngày cuối (30)</t>
  </si>
  <si>
    <t>Kiểm tra ngày biên</t>
  </si>
  <si>
    <t>Hợp đồng 1 năm dưới 300 triệu</t>
  </si>
  <si>
    <t>Hệ thống phải gửi email vào cả ngày 25 và ngày 30</t>
  </si>
  <si>
    <t>1) Tạo hợp đồng; 
2) Chạy tính năng gửi theo ngày; 
3) Xem email tại ngày thứ 25 và 30</t>
  </si>
  <si>
    <t>Email được gửi đúng vào ngày thứ 25 và 30, không bỏ sót</t>
  </si>
  <si>
    <t>Gửi email xác nhận thanh toán cho hợp đồng 1 năm trên 300 triệu – Kỳ 1 và Kỳ 2</t>
  </si>
  <si>
    <t>Hợp đồng 1 năm trên 300 triệu, có email công ty bảo hiểm</t>
  </si>
  <si>
    <t>Hệ thống gửi 2 đợt: Kỳ 1 (ngày 25→30) và Kỳ 2 (ngày 175→180)</t>
  </si>
  <si>
    <t>1) Tạo hợp đồng trên 300 triệu; 
2) Chạy chức năng gửi trong hai khoảng thời gian; 
3) Theo dõi email</t>
  </si>
  <si>
    <t>Hệ thống gửi đúng hai kỳ; mỗi kỳ gửi mỗi ngày trong 6 ngày liên tiếp</t>
  </si>
  <si>
    <t>Gửi email xác nhận thanh toán cho hợp đồng 2 năm – đủ 4 kỳ</t>
  </si>
  <si>
    <t>Hợp đồng 2 năm, có email công ty bảo hiểm</t>
  </si>
  <si>
    <t>Hệ thống gửi email nhắc ở 4 kỳ: 25→30, 175→180, 205→210, 355→360</t>
  </si>
  <si>
    <t>1) Tạo hợp đồng 2 năm; 
2) Chạy gửi theo từng kỳ; 
3) Theo dõi email</t>
  </si>
  <si>
    <t>Email được gửi đúng tất cả các kỳ; mỗi kỳ gửi mỗi ngày; kỳ này không ảnh hưởng kỳ khác</t>
  </si>
  <si>
    <t>Ngừng gửi khi công ty bảo hiểm đã xác nhận thanh toán</t>
  </si>
  <si>
    <t>Dừng khi đã xác nhận</t>
  </si>
  <si>
    <t>Công ty bảo hiểm bấm vào đường dẫn xác nhận</t>
  </si>
  <si>
    <t>Sau khi công ty bảo hiểm xác nhận, hệ thống phải dừng gửi cho kỳ hiện tại</t>
  </si>
  <si>
    <t>1) Chờ hệ thống gửi email; 
2) Công ty bảo hiểm click xác nhận; 
3) Theo dõi gửi tiếp theo</t>
  </si>
  <si>
    <t>Hệ thống dừng ngay việc gửi cho kỳ đó; trạng thái hiển thị là “Đã xác nhận thanh toán”</t>
  </si>
  <si>
    <t>Gửi email khi địa chỉ email của công ty bảo hiểm bị sai</t>
  </si>
  <si>
    <t>Xử lý lỗi gửi</t>
  </si>
  <si>
    <t>Email công ty bảo hiểm bị sai hoặc không tồn tại</t>
  </si>
  <si>
    <t>Hệ thống phải ghi nhận lỗi nhưng không ảnh hưởng các hợp đồng khác</t>
  </si>
  <si>
    <t>1) Tạo hợp đồng có email sai; 
2) Chạy gửi theo ngày</t>
  </si>
  <si>
    <t>Hệ thống báo lỗi gửi cho hợp đồng này nhưng vẫn tiếp tục gửi bình thường cho hợp đồng khác</t>
  </si>
  <si>
    <t>Kiểm tra hệ thống gửi cho nhiều hợp đồng cùng lúc</t>
  </si>
  <si>
    <t>Gửi hàng loạt</t>
  </si>
  <si>
    <t>Nhiều hợp đồng cùng đến thời điểm gửi</t>
  </si>
  <si>
    <t>Hệ thống phải gửi cho tất cả hợp đồng đến hạn trong ngày</t>
  </si>
  <si>
    <t>1) Tạo nhiều hợp đồng cùng hạn; 2) Chạy gửi</t>
  </si>
  <si>
    <t>Hệ thống gửi cho tất cả hợp đồng đến hạn; không bỏ sót; không bị chậm hoặc treo</t>
  </si>
  <si>
    <t>Kiểm tra gửi lại khi gặp lỗi tạm thời</t>
  </si>
  <si>
    <t>Gửi lại khi lỗi</t>
  </si>
  <si>
    <t>Hệ thống có lúc gặp lỗi mạng hoặc nghẽn gửi</t>
  </si>
  <si>
    <t>Hệ thống phải tự gửi lại sau khi bị lỗi</t>
  </si>
  <si>
    <t>1) Giả lập lỗi tạm thời khi gửi; 
2) Quan sát hệ thống gửi lại</t>
  </si>
  <si>
    <t>Hệ thống thử gửi lại và gửi thành công; không cần người dùng can thiệp</t>
  </si>
  <si>
    <t>Gửi email nhắc tái tục cho hợp đồng dưới 10 tỷ</t>
  </si>
  <si>
    <t>Nhắc tái tục</t>
  </si>
  <si>
    <t>Hợp đồng dưới 10 tỷ, có hạn hợp đồng</t>
  </si>
  <si>
    <t>Hệ thống gửi 1 email nhắc trước 45 ngày</t>
  </si>
  <si>
    <t>1) Tạo hợp đồng &lt;10 tỷ; 
2) Chạy gửi đến ngày -45</t>
  </si>
  <si>
    <t>Email được gửi đúng 45 ngày trước ngày hết hạn</t>
  </si>
  <si>
    <t>Gửi email nhắc tái tục cho hợp đồng trên 10 tỷ</t>
  </si>
  <si>
    <t>Hợp đồng trên 10 tỷ</t>
  </si>
  <si>
    <t>Hệ thống gửi 1 email nhắc trước 90 ngày</t>
  </si>
  <si>
    <t>1) Tạo hợp đồng &gt;10 tỷ; 
2) Chạy gửi đến ngày -90</t>
  </si>
  <si>
    <t>Email được gửi đúng 90 ngày trước ngày hết hạn</t>
  </si>
  <si>
    <t>Không gửi email nhắc tái tục nếu hợp đồng đã gia hạn hoặc đã hủy</t>
  </si>
  <si>
    <t>Trường hợp không gửi</t>
  </si>
  <si>
    <t>Hợp đồng được gia hạn hoặc hủy trước ngày nhắc</t>
  </si>
  <si>
    <t>Nếu hợp đồng không còn hiệu lực nhắc thì hệ thống không gửi nữa</t>
  </si>
  <si>
    <t>1) Tạo hợp đồng; 
2) Gia hạn hoặc hủy trước ngày nhắc; 
3) Chạy gửi</t>
  </si>
  <si>
    <t>Hệ thống không gửi email; trạng thái ghi nhận “Không cần nhắc”</t>
  </si>
  <si>
    <t>Là Underwriter, tôi muốn Leader nhận được tin nhắn Zalo khi có đề xuất cấp Phụ lục</t>
  </si>
  <si>
    <t>Gửi thông báo Zalo</t>
  </si>
  <si>
    <t>Gửi đề xuất cấp Phụ lục</t>
  </si>
  <si>
    <t>Underwriter đã tạo đề xuất Cấp Phụ lục và gửi duyệt thành công;Leader đã liên kết Zalo với hệ thống</t>
  </si>
  <si>
    <t>Kiểm tra tin nhắn Zalo gửi cho Leader khi có đề xuất cấp PLHĐ</t>
  </si>
  <si>
    <t>1. Underwriter tạo đề xuất Cấp Phụ lục;
2. Nhấn gửi duyệt;
3. Hệ thống trigger gửi Zalo cho Leader</t>
  </si>
  <si>
    <t>Leader nhận được tin nhắn Zalo với nội dung:Kính trình BLĐ phê duyệt phương án cấp Phụ lục hợp đồng của đơn &lt;Loại hình viết tắt&gt; cho &lt;Tên viết tắt địa điểm&gt; năm &lt;year&gt;;Hiển thị Ghi chú của người đề xuất;Hiển thị Người tạo</t>
  </si>
  <si>
    <t>Là Leader, tôi muốn xem chi tiết đề xuất từ tin nhắn Zalo</t>
  </si>
  <si>
    <t>Button Xem chi tiết</t>
  </si>
  <si>
    <t>Tin nhắn Zalo đề xuất cấp PLHĐ đã được gửi thành công</t>
  </si>
  <si>
    <t>Kiểm tra button “Xem chi tiết” trong tin nhắn Zalo gửi Leader</t>
  </si>
  <si>
    <t>1. Leader mở tin nhắn Zalo;
2. Nhấn nút “Xem chi tiết”</t>
  </si>
  <si>
    <t>Điều hướng đúng sang màn hình xem chi tiết đề xuất;Hiển thị đầy đủ nội dung đề xuất, bản chào và tài liệu đính kèm</t>
  </si>
  <si>
    <t>Là Underwriter, tôi muốn nhận thông báo khi đề xuất bị yêu cầu chỉnh sửa</t>
  </si>
  <si>
    <t>Yêu cầu chỉnh sửa Phụ lục</t>
  </si>
  <si>
    <t>Leader đã thực hiện hành động “Yêu cầu chỉnh sửa” và nhập lý do</t>
  </si>
  <si>
    <t>Kiểm tra tin nhắn Zalo gửi cho Underwriter khi Leader yêu cầu chỉnh sửa</t>
  </si>
  <si>
    <t>1. Leader nhấn “Yêu cầu chỉnh sửa”;
2. Nhập nội dung chỉnh sửa;
3. Xác nhận gửi</t>
  </si>
  <si>
    <t>Underwriter nhận được tin nhắn Zalo:Đề xuất cấp PLHĐ đơn &lt;Loại hình viết tắt&gt; cho &lt;Tên viết tắt địa điểm&gt; năm &lt;year&gt; đã được yêu cầu chỉnh sửa bởi &lt;leader_name&gt;;Lý do: &lt;edit_reason&gt;</t>
  </si>
  <si>
    <t>Là Underwriter, tôi muốn mở nhanh hồ sơ từ tin nhắn chỉnh sửa</t>
  </si>
  <si>
    <t>Button Xem hồ sơ</t>
  </si>
  <si>
    <t>Tin nhắn yêu cầu chỉnh sửa đã được gửi tới Underwriter</t>
  </si>
  <si>
    <t>Kiểm tra button “Xem hồ sơ” trong tin nhắn Zalo chỉnh sửa</t>
  </si>
  <si>
    <t>1. Underwriter mở tin nhắn Zalo;
2. Nhấn “Xem hồ sơ”</t>
  </si>
  <si>
    <t>Điều hướng tới màn hình chi tiết đề xuất Phụ lục;Cho phép chỉnh sửa nội dung đề xuất</t>
  </si>
  <si>
    <t>Là Underwriter, tôi muốn biết khi đề xuất Phụ lục đã được phê duyệt</t>
  </si>
  <si>
    <t>Thông báo phê duyệt Phụ lục</t>
  </si>
  <si>
    <t>Leader đã phê duyệt đề xuất Cấp Phụ lục thành công</t>
  </si>
  <si>
    <t>Kiểm tra tin nhắn Zalo thông báo phê duyệt gửi Underwriter</t>
  </si>
  <si>
    <t>1. Leader nhấn “Phê duyệt”;
2. Hệ thống gửi thông báo Zalo</t>
  </si>
  <si>
    <t>Underwriter nhận được tin nhắn:Lãnh đạo đã phê duyệt Đề xuất Cấp PLHĐ của đơn &lt;Loại hình rút gọn&gt; &lt;Địa điểm rút gọn&gt; năm &lt;year&gt;;Hiển thị Người phê duyệt</t>
  </si>
  <si>
    <t>Là Underwriter, tôi muốn xem lại hồ sơ đã được phê duyệt từ Zalo</t>
  </si>
  <si>
    <t>Tin nhắn Zalo phê duyệt đã được gửi</t>
  </si>
  <si>
    <t>Kiểm tra button “Xem hồ sơ” trong tin nhắn phê duyệt</t>
  </si>
  <si>
    <t>Mở đúng hồ sơ Phụ lục ở trạng thái đã phê duyệt;Chế độ chỉ xem (read-only)</t>
  </si>
  <si>
    <t>Tạo Bồi Thường</t>
  </si>
  <si>
    <t>Claim user tạo hồ sơ bồi thường</t>
  </si>
  <si>
    <t>Bồi thường</t>
  </si>
  <si>
    <t>Truy cập tạo bồi thường</t>
  </si>
  <si>
    <t>Người dùng đăng nhập với quyền Claim</t>
  </si>
  <si>
    <t>Truy cập màn hình tạo bồi thường</t>
  </si>
  <si>
    <r>
      <rPr>
        <sz val="11"/>
        <color rgb="FF000000"/>
        <rFont val="Aptos Narrow"/>
        <scheme val="minor"/>
      </rPr>
      <t xml:space="preserve">1. Mở menu bên trái; 
2. Chọn </t>
    </r>
    <r>
      <rPr>
        <b/>
        <sz val="11"/>
        <color rgb="FF000000"/>
        <rFont val="Aptos Narrow"/>
        <scheme val="minor"/>
      </rPr>
      <t>Bồi thường</t>
    </r>
    <r>
      <rPr>
        <sz val="11"/>
        <color rgb="FF000000"/>
        <rFont val="Aptos Narrow"/>
        <scheme val="minor"/>
      </rPr>
      <t xml:space="preserve">; 
3. Chọn </t>
    </r>
    <r>
      <rPr>
        <b/>
        <sz val="11"/>
        <color rgb="FF000000"/>
        <rFont val="Aptos Narrow"/>
        <scheme val="minor"/>
      </rPr>
      <t>Tạo bồi thường</t>
    </r>
  </si>
  <si>
    <t>Màn hình “Tạo bồi thường” hiển thị form nhập liệu</t>
  </si>
  <si>
    <t>Hiển thị form mặc định</t>
  </si>
  <si>
    <t>Truy cập thành công màn hình</t>
  </si>
  <si>
    <t>Kiểm tra trạng thái ban đầu</t>
  </si>
  <si>
    <t>1. Quan sát form khi vừa mở</t>
  </si>
  <si>
    <t>Các trường Địa điểm, Nhóm tổn thất, Ngày phát sinh, Tóm tắt sự cố hiển thị rỗng</t>
  </si>
  <si>
    <t>Claim user chọn địa điểm</t>
  </si>
  <si>
    <t>Chọn Địa điểm</t>
  </si>
  <si>
    <t>Có hợp đồng bảo hiểm tồn tại</t>
  </si>
  <si>
    <t>Chọn địa điểm xảy ra tổn thất</t>
  </si>
  <si>
    <r>
      <rPr>
        <sz val="11"/>
        <color rgb="FF000000"/>
        <rFont val="Aptos Narrow"/>
        <scheme val="minor"/>
      </rPr>
      <t xml:space="preserve">1. Click dropdown </t>
    </r>
    <r>
      <rPr>
        <b/>
        <sz val="11"/>
        <color rgb="FF000000"/>
        <rFont val="Aptos Narrow"/>
        <scheme val="minor"/>
      </rPr>
      <t>Địa điểm</t>
    </r>
    <r>
      <rPr>
        <sz val="11"/>
        <color rgb="FF000000"/>
        <rFont val="Aptos Narrow"/>
        <scheme val="minor"/>
      </rPr>
      <t>; 
2. Chọn 1 địa điểm</t>
    </r>
  </si>
  <si>
    <t>Địa điểm được chọn và hiển thị đúng</t>
  </si>
  <si>
    <t>Validate bắt buộc Địa điểm</t>
  </si>
  <si>
    <t>Chưa chọn địa điểm</t>
  </si>
  <si>
    <t>Tạo bồi thường khi thiếu địa điểm</t>
  </si>
  <si>
    <r>
      <rPr>
        <sz val="11"/>
        <color rgb="FF000000"/>
        <rFont val="Aptos Narrow"/>
        <scheme val="minor"/>
      </rPr>
      <t xml:space="preserve">1. Không chọn Địa điểm; 
2. Nhấn </t>
    </r>
    <r>
      <rPr>
        <b/>
        <sz val="11"/>
        <color rgb="FF000000"/>
        <rFont val="Aptos Narrow"/>
        <scheme val="minor"/>
      </rPr>
      <t>Tạo bồi thường</t>
    </r>
  </si>
  <si>
    <t>Hệ thống cảnh báo trường Địa điểm là bắt buộc</t>
  </si>
  <si>
    <t>Claim user xem thông tin hợp đồng</t>
  </si>
  <si>
    <t>Hiển thị thông tin hợp đồng</t>
  </si>
  <si>
    <t>Đã chọn Địa điểm</t>
  </si>
  <si>
    <t>Kiểm tra panel thông tin bên phải</t>
  </si>
  <si>
    <t>1. Chọn Địa điểm</t>
  </si>
  <si>
    <t>Thông tin hợp đồng tương ứng hiển thị (loại BH, thời hạn, người được BH…)</t>
  </si>
  <si>
    <t>Claim user chọn nhóm tổn thất</t>
  </si>
  <si>
    <t>Chọn Nhóm tổn thất</t>
  </si>
  <si>
    <t>Đã chọn địa điểm</t>
  </si>
  <si>
    <t>Chọn nhóm rủi ro</t>
  </si>
  <si>
    <r>
      <rPr>
        <sz val="11"/>
        <color rgb="FF000000"/>
        <rFont val="Aptos Narrow"/>
        <scheme val="minor"/>
      </rPr>
      <t xml:space="preserve">1. Click dropdown </t>
    </r>
    <r>
      <rPr>
        <b/>
        <sz val="11"/>
        <color rgb="FF000000"/>
        <rFont val="Aptos Narrow"/>
        <scheme val="minor"/>
      </rPr>
      <t>Nhóm tổn thất</t>
    </r>
    <r>
      <rPr>
        <sz val="11"/>
        <color rgb="FF000000"/>
        <rFont val="Aptos Narrow"/>
        <scheme val="minor"/>
      </rPr>
      <t>; 
2. Chọn giá trị (ví dụ: Kính)</t>
    </r>
  </si>
  <si>
    <t>Nhóm tổn thất được hiển thị đúng</t>
  </si>
  <si>
    <t>Validate bắt buộc Nhóm tổn thất</t>
  </si>
  <si>
    <t>Chưa chọn nhóm tổn thất</t>
  </si>
  <si>
    <t>Tạo bồi thường khi thiếu nhóm tổn thất</t>
  </si>
  <si>
    <r>
      <t xml:space="preserve">1. Không chọn Nhóm tổn thất; 2. Nhấn </t>
    </r>
    <r>
      <rPr>
        <b/>
        <sz val="11"/>
        <color theme="1"/>
        <rFont val="Aptos Narrow"/>
        <family val="2"/>
        <scheme val="minor"/>
      </rPr>
      <t>Tạo bồi thường</t>
    </r>
  </si>
  <si>
    <t>Hệ thống hiển thị cảnh báo bắt buộc</t>
  </si>
  <si>
    <t>Claim user nhập ngày phát sinh</t>
  </si>
  <si>
    <t>Nhập Ngày phát sinh</t>
  </si>
  <si>
    <t>Đã vào màn hình tạo</t>
  </si>
  <si>
    <t>Chọn ngày xảy ra sự cố</t>
  </si>
  <si>
    <r>
      <rPr>
        <sz val="11"/>
        <color rgb="FF000000"/>
        <rFont val="Aptos Narrow"/>
        <scheme val="minor"/>
      </rPr>
      <t xml:space="preserve">1. Click ô </t>
    </r>
    <r>
      <rPr>
        <b/>
        <sz val="11"/>
        <color rgb="FF000000"/>
        <rFont val="Aptos Narrow"/>
        <scheme val="minor"/>
      </rPr>
      <t>Ngày phát sinh</t>
    </r>
    <r>
      <rPr>
        <sz val="11"/>
        <color rgb="FF000000"/>
        <rFont val="Aptos Narrow"/>
        <scheme val="minor"/>
      </rPr>
      <t>; 
2. Chọn ngày trên lịch</t>
    </r>
  </si>
  <si>
    <t>Ngày được hiển thị đúng định dạng</t>
  </si>
  <si>
    <t>Validate ngày phát sinh</t>
  </si>
  <si>
    <t>Ngày phát sinh lớn hơn ngày hiện tại</t>
  </si>
  <si>
    <t>Nhập ngày không hợp lệ</t>
  </si>
  <si>
    <r>
      <rPr>
        <sz val="11"/>
        <color rgb="FF000000"/>
        <rFont val="Aptos Narrow"/>
        <scheme val="minor"/>
      </rPr>
      <t xml:space="preserve">1. Chọn ngày trong tương lai; 
2. Nhấn </t>
    </r>
    <r>
      <rPr>
        <b/>
        <sz val="11"/>
        <color rgb="FF000000"/>
        <rFont val="Aptos Narrow"/>
        <scheme val="minor"/>
      </rPr>
      <t>Tạo bồi thường</t>
    </r>
  </si>
  <si>
    <t>Hệ thống cảnh báo ngày phát sinh không hợp lệ</t>
  </si>
  <si>
    <t>Claim user nhập mô tả sự cố</t>
  </si>
  <si>
    <t>Nhập Tóm tắt sự cố</t>
  </si>
  <si>
    <t>Nhập nội dung mô tả</t>
  </si>
  <si>
    <r>
      <t xml:space="preserve">1. Nhập text vào </t>
    </r>
    <r>
      <rPr>
        <b/>
        <sz val="11"/>
        <color theme="1"/>
        <rFont val="Aptos Narrow"/>
        <family val="2"/>
        <scheme val="minor"/>
      </rPr>
      <t>Tóm tắt sự cố</t>
    </r>
  </si>
  <si>
    <t>Nội dung được nhập và hiển thị đầy đủ</t>
  </si>
  <si>
    <t>Validate dữ liệu thiếu</t>
  </si>
  <si>
    <t>Thiếu nhiều trường bắt buộc</t>
  </si>
  <si>
    <t>Kiểm tra validate tổng thể</t>
  </si>
  <si>
    <r>
      <rPr>
        <sz val="11"/>
        <color rgb="FF000000"/>
        <rFont val="Aptos Narrow"/>
        <scheme val="minor"/>
      </rPr>
      <t xml:space="preserve">1. Không nhập dữ liệu; 
2. Nhấn </t>
    </r>
    <r>
      <rPr>
        <b/>
        <sz val="11"/>
        <color rgb="FF000000"/>
        <rFont val="Aptos Narrow"/>
        <scheme val="minor"/>
      </rPr>
      <t>Tạo bồi thường</t>
    </r>
  </si>
  <si>
    <t>Hệ thống hiển thị cảnh báo cho từng trường bắt buộc</t>
  </si>
  <si>
    <t>Claim user hủy thao tác</t>
  </si>
  <si>
    <t>Đang nhập dữ liệu</t>
  </si>
  <si>
    <t>Hủy tạo hồ sơ</t>
  </si>
  <si>
    <r>
      <t xml:space="preserve">1. Nhấn </t>
    </r>
    <r>
      <rPr>
        <b/>
        <sz val="11"/>
        <color theme="1"/>
        <rFont val="Aptos Narrow"/>
        <family val="2"/>
        <scheme val="minor"/>
      </rPr>
      <t>Quay lại / Bỏ qua</t>
    </r>
  </si>
  <si>
    <t>Quay về màn hình danh sách bồi thường</t>
  </si>
  <si>
    <t>Claim user tạo hồ sơ thành công</t>
  </si>
  <si>
    <t>Đã nhập đầy đủ dữ liệu hợp lệ</t>
  </si>
  <si>
    <t>Tạo hồ sơ mới</t>
  </si>
  <si>
    <r>
      <rPr>
        <sz val="11"/>
        <color rgb="FF000000"/>
        <rFont val="Aptos Narrow"/>
        <scheme val="minor"/>
      </rPr>
      <t xml:space="preserve">1. Chọn Địa điểm; 
2. Chọn Nhóm tổn thất; 
3. Nhập Ngày phát sinh; 
4. Nhập Tóm tắt sự cố; 
5. Nhấn </t>
    </r>
    <r>
      <rPr>
        <b/>
        <sz val="11"/>
        <color rgb="FF000000"/>
        <rFont val="Aptos Narrow"/>
        <scheme val="minor"/>
      </rPr>
      <t>Tạo bồi thường</t>
    </r>
  </si>
  <si>
    <t>Hồ sơ bồi thường được tạo thành công</t>
  </si>
  <si>
    <t>Điều hướng sau khi tạo</t>
  </si>
  <si>
    <t>Tạo thành công</t>
  </si>
  <si>
    <t>1. Tạo bồi thường thành công</t>
  </si>
  <si>
    <t>Hệ thống chuyển sang màn hình chi tiết hoặc danh sách</t>
  </si>
  <si>
    <t>Dashboard Bồi Thường</t>
  </si>
  <si>
    <t>Là nhân viên bồi thường, tôi muốn xem Dashboard để nắm tổng quan</t>
  </si>
  <si>
    <t>Truy cập Dashboard</t>
  </si>
  <si>
    <t>Người dùng đã đăng nhập với role Bồi thường</t>
  </si>
  <si>
    <t>Kiểm tra hiển thị Dashboard mặc định sau đăng nhập</t>
  </si>
  <si>
    <t>1. Đăng nhập hệ thống2. Không thao tác thêm</t>
  </si>
  <si>
    <t>Dashboard hiển thị mặc định;Hiển thị các thẻ thống kê và biểu đồ</t>
  </si>
  <si>
    <t>Là nhân viên bồi thường, tôi muốn theo dõi số vụ cần xem xét</t>
  </si>
  <si>
    <t>Vụ cần xem xét</t>
  </si>
  <si>
    <t>Có dữ liệu bồi thường tồn tại</t>
  </si>
  <si>
    <t>Kiểm tra thẻ “Những vụ cần xem xét”</t>
  </si>
  <si>
    <t>1. Truy cập Dashboard2. Quan sát thẻ “Những vụ cần xem xét”</t>
  </si>
  <si>
    <t>Hiển thị đúng số lượng hồ sơ chưa đóng quá 180 ngày</t>
  </si>
  <si>
    <t>Là nhân viên bồi thường, tôi muốn tìm kiếm nhanh hồ sơ</t>
  </si>
  <si>
    <t>Có hồ sơ bồi thường trong hệ thống</t>
  </si>
  <si>
    <t>Tìm kiếm hồ sơ bằng từ khóa</t>
  </si>
  <si>
    <t>1. Nhập mã hồ sơ vào ô tìm kiếm2. Nhấn Enter</t>
  </si>
  <si>
    <t>Danh sách kết quả đúng với từ khóa;Không reload toàn trang</t>
  </si>
  <si>
    <t>Là nhân viên bồi thường, tôi muốn theo dõi hồ sơ đủ giấy tờ</t>
  </si>
  <si>
    <t>Đủ hồ sơ chờ thông báo</t>
  </si>
  <si>
    <t>Có hồ sơ ở trạng thái “Đã đủ hồ sơ”</t>
  </si>
  <si>
    <t>Kiểm tra thẻ “Đủ hồ sơ nhưng chưa có thông báo bồi thường”</t>
  </si>
  <si>
    <t>1. Truy cập Dashboard2. Quan sát thẻ tương ứng</t>
  </si>
  <si>
    <t>Số lượng hiển thị đúng với dữ liệu hệ thống</t>
  </si>
  <si>
    <t>Là nhân viên bồi thường, tôi muốn theo dõi hồ sơ chờ nhận tiền</t>
  </si>
  <si>
    <t>Chờ nhận tiền</t>
  </si>
  <si>
    <t>Có hồ sơ đã thông báo bồi thường</t>
  </si>
  <si>
    <t>Kiểm tra thẻ “Có thông báo bồi thường nhưng chưa nhận tiền”</t>
  </si>
  <si>
    <t>1. Truy cập Dashboard2. Quan sát thẻ chờ nhận tiền</t>
  </si>
  <si>
    <t>Số lượng phản ánh đúng hồ sơ đã chốt phương án</t>
  </si>
  <si>
    <t>Là nhân viên bồi thường, tôi muốn xem biểu đồ tổng quan</t>
  </si>
  <si>
    <t>Biểu đồ bồi thường</t>
  </si>
  <si>
    <t>Có dữ liệu bồi thường năm hiện tại</t>
  </si>
  <si>
    <t>Kiểm tra biểu đồ “Yêu cầu bồi thường năm”</t>
  </si>
  <si>
    <t>1. Truy cập Dashboard2. Quan sát biểu đồ tròn</t>
  </si>
  <si>
    <t>Biểu đồ hiển thị đúng tỷ lệ từng trạng thái;Màu sắc đúng quy ước</t>
  </si>
  <si>
    <t>Là nhân viên bồi thường, tôi muốn tạo báo cáo</t>
  </si>
  <si>
    <t>Mở popup tạo báo cáo</t>
  </si>
  <si>
    <t>Người dùng đang ở Dashboard</t>
  </si>
  <si>
    <t>Mở popup “Chọn P&amp;L để xuất báo cáo”</t>
  </si>
  <si>
    <t>1. Nhấn “+ Tạo báo cáo”</t>
  </si>
  <si>
    <t>Popup hiển thị;Có các trường P&amp;L, Tháng/năm, Hủy, Xuất báo cáo</t>
  </si>
  <si>
    <t>Là nhân viên bồi thường, tôi muốn xuất báo cáo hợp lệ</t>
  </si>
  <si>
    <t>Xuất báo cáo</t>
  </si>
  <si>
    <t>Xuất file Excel</t>
  </si>
  <si>
    <t>Popup tạo báo cáo đang mở</t>
  </si>
  <si>
    <t>Xuất báo cáo khi nhập đủ thông tin</t>
  </si>
  <si>
    <t>1. Chọn P&amp;L2. Chọn Tháng/năm3. Nhấn “Xuất báo cáo”</t>
  </si>
  <si>
    <t>File Excel được tải về;Dữ liệu đúng theo P&amp;L và thời gian</t>
  </si>
  <si>
    <t>Là nhân viên bồi thường, tôi không muốn xuất báo cáo khi thiếu dữ liệu</t>
  </si>
  <si>
    <t>Validate bắt buộc</t>
  </si>
  <si>
    <t>Kiểm tra validate khi thiếu P&amp;L</t>
  </si>
  <si>
    <t>1. Không chọn P&amp;L2. Nhấn “Xuất báo cáo”</t>
  </si>
  <si>
    <t>Hiển thị cảnh báo bắt buộc chọn P&amp;L;Không tải file</t>
  </si>
  <si>
    <t>Là nhân viên bồi thường, tôi không muốn xuất báo cáo khi thiếu tháng/năm</t>
  </si>
  <si>
    <t>Kiểm tra validate khi thiếu Tháng/năm</t>
  </si>
  <si>
    <t>1. Chọn P&amp;L2. Không chọn Tháng/năm3. Nhấn “Xuất báo cáo”</t>
  </si>
  <si>
    <t>Hiển thị cảnh báo bắt buộc chọn Tháng/năm</t>
  </si>
  <si>
    <t>Là nhân viên bồi thường, tôi muốn hủy thao tác xuất báo cáo</t>
  </si>
  <si>
    <t>Hủy popup</t>
  </si>
  <si>
    <t>Đóng popup không xuất file</t>
  </si>
  <si>
    <t>1. Nhấn nút “Hủy”</t>
  </si>
  <si>
    <t>Popup đóng;Không có file được tạo</t>
  </si>
  <si>
    <t>Là nhân viên bồi thường, tôi muốn hệ thống xử lý khi không có dữ liệu</t>
  </si>
  <si>
    <t>Case ẩn – không có dữ liệu</t>
  </si>
  <si>
    <t>Không có dữ liệu theo P&amp;L &amp; thời gian chọn</t>
  </si>
  <si>
    <t>Xuất báo cáo khi dữ liệu rỗng</t>
  </si>
  <si>
    <t>1. Chọn P&amp;L không có dữ liệu2. Chọn Tháng/năm3. Xuất báo cáo</t>
  </si>
  <si>
    <t>File Excel vẫn tải về;Hiển thị dữ liệu rỗng hoặc thông báo “Không có dữ liệu”</t>
  </si>
  <si>
    <t>Là nhân viên bồi thường, tôi muốn đảm bảo dữ liệu Dashboard cập nhật</t>
  </si>
  <si>
    <t>Case ẩn – realtime</t>
  </si>
  <si>
    <t>Có hồ sơ thay đổi trạng thái</t>
  </si>
  <si>
    <t>Kiểm tra cập nhật số liệu Dashboard</t>
  </si>
  <si>
    <t>1. Cập nhật trạng thái hồ sơ ở màn hình khác2. Quay lại Dashboard</t>
  </si>
  <si>
    <t>Các thẻ và biểu đồ cập nhật đúng số liệu mới</t>
  </si>
  <si>
    <t>Danh Sách Bồi Thường</t>
  </si>
  <si>
    <t>Claim user xem danh sách bồi thường</t>
  </si>
  <si>
    <t>Truy cập danh sách bồi thường</t>
  </si>
  <si>
    <t>Truy cập màn hình danh sách</t>
  </si>
  <si>
    <r>
      <rPr>
        <sz val="11"/>
        <color rgb="FF000000"/>
        <rFont val="Aptos Narrow"/>
        <scheme val="minor"/>
      </rPr>
      <t xml:space="preserve">1. Mở menu bên trái; 
2. Chọn </t>
    </r>
    <r>
      <rPr>
        <b/>
        <sz val="11"/>
        <color rgb="FF000000"/>
        <rFont val="Aptos Narrow"/>
        <scheme val="minor"/>
      </rPr>
      <t>Bồi thường</t>
    </r>
    <r>
      <rPr>
        <sz val="11"/>
        <color rgb="FF000000"/>
        <rFont val="Aptos Narrow"/>
        <scheme val="minor"/>
      </rPr>
      <t xml:space="preserve">;
 3. Chọn </t>
    </r>
    <r>
      <rPr>
        <b/>
        <sz val="11"/>
        <color rgb="FF000000"/>
        <rFont val="Aptos Narrow"/>
        <scheme val="minor"/>
      </rPr>
      <t>Danh sách bồi thường</t>
    </r>
  </si>
  <si>
    <t>Màn hình danh sách bồi thường hiển thị</t>
  </si>
  <si>
    <t>Hiển thị dữ liệu mặc định</t>
  </si>
  <si>
    <t>Kiểm tra hiển thị bảng</t>
  </si>
  <si>
    <t>1. Truy cập danh sách</t>
  </si>
  <si>
    <t>Bảng hiển thị các cột: Mã tham chiếu, Status, Địa điểm, Nhóm tổn thất, Ngày phát sinh, Dự tính BT, Số tiền tạm ứng</t>
  </si>
  <si>
    <t>Claim user lọc hồ sơ</t>
  </si>
  <si>
    <t>Lọc theo trạng thái</t>
  </si>
  <si>
    <t>Có nhiều trạng thái khác nhau</t>
  </si>
  <si>
    <t>Lọc danh sách theo trạng thái</t>
  </si>
  <si>
    <r>
      <rPr>
        <sz val="11"/>
        <color rgb="FF000000"/>
        <rFont val="Aptos Narrow"/>
        <scheme val="minor"/>
      </rPr>
      <t xml:space="preserve">1. Click dropdown </t>
    </r>
    <r>
      <rPr>
        <b/>
        <sz val="11"/>
        <color rgb="FF000000"/>
        <rFont val="Aptos Narrow"/>
        <scheme val="minor"/>
      </rPr>
      <t>Tất cả trạng thái</t>
    </r>
    <r>
      <rPr>
        <sz val="11"/>
        <color rgb="FF000000"/>
        <rFont val="Aptos Narrow"/>
        <scheme val="minor"/>
      </rPr>
      <t>; 
2. Chọn 1 trạng thái (VD: Đang cung cấp hồ sơ)</t>
    </r>
  </si>
  <si>
    <t>Danh sách chỉ hiển thị hồ sơ đúng trạng thái đã chọn</t>
  </si>
  <si>
    <t>Reset bộ lọc</t>
  </si>
  <si>
    <t>Đã lọc theo trạng thái</t>
  </si>
  <si>
    <t>Quay lại xem tất cả</t>
  </si>
  <si>
    <r>
      <t xml:space="preserve">1. Chọn lại </t>
    </r>
    <r>
      <rPr>
        <b/>
        <sz val="11"/>
        <color theme="1"/>
        <rFont val="Aptos Narrow"/>
        <family val="2"/>
        <scheme val="minor"/>
      </rPr>
      <t>Tất cả trạng thái</t>
    </r>
  </si>
  <si>
    <t>Danh sách hiển thị toàn bộ hồ sơ</t>
  </si>
  <si>
    <t>Claim user tìm kiếm hồ sơ</t>
  </si>
  <si>
    <t>Tìm theo mã tham chiếu</t>
  </si>
  <si>
    <t>Có hồ sơ tồn tại</t>
  </si>
  <si>
    <t>Tìm kiếm bằng mã</t>
  </si>
  <si>
    <r>
      <t xml:space="preserve">1. Nhập mã tham chiếu vào ô </t>
    </r>
    <r>
      <rPr>
        <b/>
        <sz val="11"/>
        <color theme="1"/>
        <rFont val="Aptos Narrow"/>
        <family val="2"/>
        <scheme val="minor"/>
      </rPr>
      <t>Tìm kiếm</t>
    </r>
  </si>
  <si>
    <t>Danh sách hiển thị đúng hồ sơ tương ứng</t>
  </si>
  <si>
    <t>Có nhiều địa điểm khác nhau</t>
  </si>
  <si>
    <t>Tìm kiếm theo địa điểm</t>
  </si>
  <si>
    <t>1. Nhập tên địa điểm (VD: Vinpearl Golf Hải Phòng)</t>
  </si>
  <si>
    <t>Danh sách lọc đúng theo địa điểm</t>
  </si>
  <si>
    <t>Tìm theo nhóm tổn thất</t>
  </si>
  <si>
    <t>Có nhiều nhóm tổn thất</t>
  </si>
  <si>
    <t>Tìm kiếm theo nhóm tổn thất</t>
  </si>
  <si>
    <t>1. Nhập tên nhóm tổn thất (VD: Kính)</t>
  </si>
  <si>
    <t>Danh sách hiển thị đúng hồ sơ</t>
  </si>
  <si>
    <t>Không có kết quả</t>
  </si>
  <si>
    <t>Không tồn tại dữ liệu phù hợp</t>
  </si>
  <si>
    <t>Tìm kiếm không khớp</t>
  </si>
  <si>
    <t>Hiển thị danh sách trống hoặc thông báo không có dữ liệu</t>
  </si>
  <si>
    <t>Claim user tạo bồi thường mới</t>
  </si>
  <si>
    <r>
      <t xml:space="preserve">1. Nhấn nút </t>
    </r>
    <r>
      <rPr>
        <b/>
        <sz val="11"/>
        <color theme="1"/>
        <rFont val="Aptos Narrow"/>
        <family val="2"/>
        <scheme val="minor"/>
      </rPr>
      <t>+ Tạo bồi thường</t>
    </r>
  </si>
  <si>
    <t>Chuyển sang màn hình Tạo bồi thường</t>
  </si>
  <si>
    <t>Claim user theo dõi trạng thái</t>
  </si>
  <si>
    <t>Có hồ sơ ở nhiều trạng thái</t>
  </si>
  <si>
    <t>Kiểm tra màu status</t>
  </si>
  <si>
    <t>Màu hiển thị đúng: Đỏ (thiếu hồ sơ), Xanh dương (đã đủ), Xanh lá (đã nhận tiền), Xám (đóng)</t>
  </si>
  <si>
    <t>Claim user xem dự tính bồi thường</t>
  </si>
  <si>
    <t>Hiển thị dự tính BT</t>
  </si>
  <si>
    <t>Hồ sơ có giá trị dự tính</t>
  </si>
  <si>
    <t>Kiểm tra cột dự tính</t>
  </si>
  <si>
    <r>
      <t xml:space="preserve">1. Quan sát cột </t>
    </r>
    <r>
      <rPr>
        <b/>
        <sz val="11"/>
        <color theme="1"/>
        <rFont val="Aptos Narrow"/>
        <family val="2"/>
        <scheme val="minor"/>
      </rPr>
      <t>Dự tính bồi thường (VND)</t>
    </r>
  </si>
  <si>
    <t>Số tiền hiển thị đúng định dạng và giá trị</t>
  </si>
  <si>
    <t>Claim user xem tiền tạm ứng</t>
  </si>
  <si>
    <t>Hiển thị tiền tạm ứng</t>
  </si>
  <si>
    <t>Hồ sơ có/không có tạm ứng</t>
  </si>
  <si>
    <t>Kiểm tra cột tạm ứng</t>
  </si>
  <si>
    <r>
      <t xml:space="preserve">1. Quan sát cột </t>
    </r>
    <r>
      <rPr>
        <b/>
        <sz val="11"/>
        <color theme="1"/>
        <rFont val="Aptos Narrow"/>
        <family val="2"/>
        <scheme val="minor"/>
      </rPr>
      <t>Số tiền bồi thường/tạm ứng</t>
    </r>
  </si>
  <si>
    <t>Hiển thị đúng số tiền hoặc dấu “–” nếu chưa có</t>
  </si>
  <si>
    <t>Claim user xem chi tiết hồ sơ</t>
  </si>
  <si>
    <r>
      <t xml:space="preserve">1. Click biểu tượng </t>
    </r>
    <r>
      <rPr>
        <b/>
        <sz val="11"/>
        <color theme="1"/>
        <rFont val="Aptos Narrow"/>
        <family val="2"/>
        <scheme val="minor"/>
      </rPr>
      <t>Con mắt</t>
    </r>
  </si>
  <si>
    <t>Chuyển sang màn hình chi tiết hồ sơ bồi thường</t>
  </si>
  <si>
    <t>Claim user phân trang</t>
  </si>
  <si>
    <t>Chuyển trang</t>
  </si>
  <si>
    <t>Chuyển trang danh sách</t>
  </si>
  <si>
    <r>
      <t xml:space="preserve">1. Nhấn </t>
    </r>
    <r>
      <rPr>
        <b/>
        <sz val="11"/>
        <color theme="1"/>
        <rFont val="Aptos Narrow"/>
        <family val="2"/>
        <scheme val="minor"/>
      </rPr>
      <t>Trang tiếp</t>
    </r>
  </si>
  <si>
    <t>Danh sách chuyển sang trang kế tiếp</t>
  </si>
  <si>
    <t>Quay lại trang trước</t>
  </si>
  <si>
    <t>Đang ở trang &gt; 1</t>
  </si>
  <si>
    <r>
      <rPr>
        <sz val="11"/>
        <color rgb="FF000000"/>
        <rFont val="Aptos Narrow"/>
        <scheme val="minor"/>
      </rPr>
      <t xml:space="preserve">1. Nhấn </t>
    </r>
    <r>
      <rPr>
        <b/>
        <sz val="11"/>
        <color rgb="FF000000"/>
        <rFont val="Aptos Narrow"/>
        <scheme val="minor"/>
      </rPr>
      <t>Trang trước</t>
    </r>
  </si>
  <si>
    <t>Danh sách quay về trang trước</t>
  </si>
  <si>
    <t>Claim user giữ bộ lọc khi phân trang</t>
  </si>
  <si>
    <t>Phân trang + lọc</t>
  </si>
  <si>
    <t>Đã chọn bộ lọc</t>
  </si>
  <si>
    <t>Kiểm tra giữ trạng thái</t>
  </si>
  <si>
    <t>1. Lọc theo trạng thái; 
2. Chuyển trang</t>
  </si>
  <si>
    <t>Bộ lọc vẫn được giữ nguyên</t>
  </si>
  <si>
    <t>Claim user kiểm tra quyền</t>
  </si>
  <si>
    <t>User không có quyền Claim</t>
  </si>
  <si>
    <t>1. Đăng nhập user không có quyền; 
2. Truy cập danh sách</t>
  </si>
  <si>
    <t>Không cho truy cập hoặc hiển thị thông báo phân quyền</t>
  </si>
  <si>
    <t>Trang Chi Tiết Bồi Thường</t>
  </si>
  <si>
    <t>Với vai trò Claim, tôi muốn xem tổng quan hồ sơ bồi thường</t>
  </si>
  <si>
    <t>Chi tiết bồi thường</t>
  </si>
  <si>
    <t>Hiển thị chỉ số tổng quan</t>
  </si>
  <si>
    <t>Hồ sơ bồi thường đã được tạo</t>
  </si>
  <si>
    <t>Kiểm tra hiển thị 4 chỉ số tổng quan</t>
  </si>
  <si>
    <t>1. Truy cập chi tiết hồ sơ bồi thường;
2. Quan sát khu vực đầu trang</t>
  </si>
  <si>
    <t>Hiển thị đúng Nhóm tổn thất;Hiển thị đúng Dự tính bồi thường;Hiển thị đúng Số tiền tạm ứng;Hiển thị đúng Số ngày xử lý</t>
  </si>
  <si>
    <t>Với vai trò Claim, tôi muốn cập nhật trạng thái hồ sơ</t>
  </si>
  <si>
    <t>Hồ sơ ở trạng thái “Đang cung cấp hồ sơ”</t>
  </si>
  <si>
    <t>Thay đổi trạng thái xử lý</t>
  </si>
  <si>
    <t>1. Mở dropdown Trạng thái;
2. Chọn “Đã đủ hồ sơ”;
3. Nhấn “Lưu chỉnh sửa”</t>
  </si>
  <si>
    <t>Trạng thái được cập nhật thành “Đã đủ hồ sơ”;Dữ liệu được lưu thành công</t>
  </si>
  <si>
    <t>Với vai trò Claim, tôi muốn kiểm tra thông tin sự cố</t>
  </si>
  <si>
    <t>Xem thông tin sự cố</t>
  </si>
  <si>
    <t>Hồ sơ đã có dữ liệu</t>
  </si>
  <si>
    <t>Kiểm tra thông tin hiển thị</t>
  </si>
  <si>
    <t>1. Quan sát các trường thông tin</t>
  </si>
  <si>
    <t>Hiển thị đúng Mã tham chiếu;Hiển thị đúng Địa điểm;Hiển thị đúng Ngày phát sinh;Hiển thị đúng Tóm tắt sự cố</t>
  </si>
  <si>
    <t>Với vai trò Claim, tôi muốn chỉnh sửa tóm tắt sự cố</t>
  </si>
  <si>
    <t>Chỉnh sửa tóm tắt sự cố</t>
  </si>
  <si>
    <t>Hồ sơ cho phép chỉnh sửa</t>
  </si>
  <si>
    <t>Cập nhật nội dung sự cố</t>
  </si>
  <si>
    <t>1. Nhập nội dung mới vào ô Tóm tắt sự cố;
2. Nhấn “Lưu chỉnh sửa”</t>
  </si>
  <si>
    <t>Nội dung mới được lưu;Hiển thị lại đúng nội dung đã chỉnh sửa</t>
  </si>
  <si>
    <t>Với vai trò Claim, tôi muốn nhập số tiền yêu cầu bồi thường</t>
  </si>
  <si>
    <t>Nhập số tiền yêu cầu</t>
  </si>
  <si>
    <t>Hồ sơ đang ở trạng thái chỉnh sửa</t>
  </si>
  <si>
    <t>Nhập số tiền khách yêu cầu</t>
  </si>
  <si>
    <t>1. Nhập giá trị vào ô “Số tiền yêu cầu”;
2. Nhấn “Lưu chỉnh sửa”</t>
  </si>
  <si>
    <t>Số tiền yêu cầu được lưu;Giá trị hiển thị đúng định dạng tiền tệ</t>
  </si>
  <si>
    <t>Với vai trò Claim, tôi muốn nhập mức khấu trừ áp dụng</t>
  </si>
  <si>
    <t>Áp dụng mức khấu trừ</t>
  </si>
  <si>
    <t>Hợp đồng có mức khấu trừ</t>
  </si>
  <si>
    <t>Nhập mức khấu trừ theo hợp đồng</t>
  </si>
  <si>
    <t>1. Quan sát mức khấu trừ ở cột phải;
2. Nhập giá trị tương ứng vào ô Mức khấu trừ áp dụng</t>
  </si>
  <si>
    <t>Mức khấu trừ nhập đúng theo hợp đồng;Không cho nhập vượt mức quy định</t>
  </si>
  <si>
    <t>Với vai trò Claim, tôi muốn nhập dự tính bồi thường</t>
  </si>
  <si>
    <t>Nhập dự tính bồi thường</t>
  </si>
  <si>
    <t>Đã có số tiền yêu cầu</t>
  </si>
  <si>
    <t>Nhập số tiền dự tính chi trả</t>
  </si>
  <si>
    <t>1. Nhập số tiền vào ô “Dự tính bồi thường”;
2. Nhấn “Lưu chỉnh sửa”</t>
  </si>
  <si>
    <t>Dự tính bồi thường được lưu;Không âm;Không vượt số tiền yêu cầu</t>
  </si>
  <si>
    <t>Với vai trò Claim, tôi muốn nhập số tiền tạm ứng</t>
  </si>
  <si>
    <t>Nhập tiền tạm ứng</t>
  </si>
  <si>
    <t>Hồ sơ có phát sinh tạm ứng</t>
  </si>
  <si>
    <t>Ghi nhận tiền đã tạm ứng</t>
  </si>
  <si>
    <t>1. Nhập số tiền vào ô “Số tiền đã tạm ứng”;
2. Nhấn “Lưu chỉnh sửa”</t>
  </si>
  <si>
    <t>Số tiền tạm ứng được lưu;Không vượt dự tính bồi thường</t>
  </si>
  <si>
    <t>Với vai trò Claim, tôi muốn thêm ghi chú xử lý</t>
  </si>
  <si>
    <t>Ghi chú nội bộ</t>
  </si>
  <si>
    <t>Ghi nhận diễn biến xử lý</t>
  </si>
  <si>
    <t>1. Nhập nội dung vào ô Ghi chú;
2. Nhấn “Lưu chỉnh sửa”</t>
  </si>
  <si>
    <t>Ghi chú được lưu;Hiển thị đúng nội dung đã nhập</t>
  </si>
  <si>
    <t>Với vai trò Claim, tôi muốn kiểm tra hiệu lực hợp đồng</t>
  </si>
  <si>
    <t>Tham chiếu hợp đồng gốc</t>
  </si>
  <si>
    <t>Hợp đồng gốc tồn tại</t>
  </si>
  <si>
    <t>Kiểm tra thời hạn bảo hiểm</t>
  </si>
  <si>
    <t>1. Quan sát thông tin hợp đồng ở cột phải</t>
  </si>
  <si>
    <t>Hiển thị đúng thời hạn bảo hiểm;Cho phép xác định sự cố nằm trong/ngoài hiệu lực</t>
  </si>
  <si>
    <t>Với vai trò Claim, tôi muốn chuyển sang tab Danh sách hồ sơ</t>
  </si>
  <si>
    <t>Chuyển tab</t>
  </si>
  <si>
    <t>Đang ở tab Thông tin chi tiết</t>
  </si>
  <si>
    <t>Chuyển sang quản lý chứng từ</t>
  </si>
  <si>
    <t>1. Nhấn tab “Danh sách hồ sơ”</t>
  </si>
  <si>
    <t>Màn hình chuyển sang danh sách hồ sơ</t>
  </si>
  <si>
    <t>Với vai trò Claim, tôi muốn xem nhóm Hồ sơ chung</t>
  </si>
  <si>
    <t>Hồ sơ chung</t>
  </si>
  <si>
    <t>Kiểm tra nhóm hồ sơ chung</t>
  </si>
  <si>
    <t>1. Quan sát nhóm Hồ sơ chung</t>
  </si>
  <si>
    <t>Hiển thị đúng danh sách chứng từ Hồ sơ chung</t>
  </si>
  <si>
    <t>Với vai trò Claim, tôi muốn xem nhóm Hồ sơ ban đầu</t>
  </si>
  <si>
    <t>Hồ sơ ban đầu</t>
  </si>
  <si>
    <t>Kiểm tra nhóm hồ sơ ban đầu</t>
  </si>
  <si>
    <t>1. Quan sát nhóm Hồ sơ ban đầu</t>
  </si>
  <si>
    <t>Hiển thị đúng danh sách chứng từ Hồ sơ ban đầu</t>
  </si>
  <si>
    <t>Với vai trò Claim, tôi muốn xem nhóm Hồ sơ khắc phục tổn thất</t>
  </si>
  <si>
    <t>Hồ sơ khắc phục tổn thất</t>
  </si>
  <si>
    <t>Kiểm tra nhóm hồ sơ khắc phục</t>
  </si>
  <si>
    <t>1. Quan sát nhóm Hồ sơ khắc phục tổn thất</t>
  </si>
  <si>
    <t>Hiển thị đúng danh sách chứng từ khắc phục</t>
  </si>
  <si>
    <t>Với vai trò Claim, tôi muốn đánh dấu đã đủ hồ sơ</t>
  </si>
  <si>
    <t>Checkbox trạng thái</t>
  </si>
  <si>
    <t>Hồ sơ đã đủ chứng từ</t>
  </si>
  <si>
    <t>Tick xác nhận đủ hồ sơ</t>
  </si>
  <si>
    <t>1. Tick checkbox tại nhóm hồ sơ</t>
  </si>
  <si>
    <t>Checkbox chuyển sang trạng thái đã tích;Hệ thống ghi nhận đủ hồ sơ</t>
  </si>
  <si>
    <t>Với vai trò Claim, tôi muốn xem số lượng file đã upload</t>
  </si>
  <si>
    <t>Hiển thị số lượng file</t>
  </si>
  <si>
    <t>Có file đã upload</t>
  </si>
  <si>
    <t>Kiểm tra số lượng file</t>
  </si>
  <si>
    <t>1. Quan sát số lượng tài liệu hiển thị</t>
  </si>
  <si>
    <t>Số lượng file hiển thị đúng thực tế</t>
  </si>
  <si>
    <t>Với vai trò Claim, tôi muốn mở rộng danh sách file</t>
  </si>
  <si>
    <t>Mở rộng/thu gọn</t>
  </si>
  <si>
    <t>Nhóm hồ sơ có file</t>
  </si>
  <si>
    <t>Xem chi tiết file</t>
  </si>
  <si>
    <t>1. Nhấn biểu tượng mũi tên</t>
  </si>
  <si>
    <t>Danh sách file được mở rộng</t>
  </si>
  <si>
    <t>Với vai trò Claim, tôi muốn upload tài liệu</t>
  </si>
  <si>
    <t>File ≤ 25MB, đúng định dạng</t>
  </si>
  <si>
    <t>Upload chứng từ</t>
  </si>
  <si>
    <t>1. Kéo thả hoặc chọn file;
2. Upload</t>
  </si>
  <si>
    <t>File được upload thành công;Hiển thị trong danh sách</t>
  </si>
  <si>
    <t>Với vai trò Claim, tôi muốn tải file về máy</t>
  </si>
  <si>
    <t>Tải tài liệu</t>
  </si>
  <si>
    <t>1. Nhấn biểu tượng tải xuống</t>
  </si>
  <si>
    <t>File được tải về thành công</t>
  </si>
  <si>
    <t>Với vai trò Claim, tôi muốn xóa file đã upload</t>
  </si>
  <si>
    <t>Có quyền xóa</t>
  </si>
  <si>
    <t>Xóa tài liệu không cần thiết</t>
  </si>
  <si>
    <t>1. Nhấn biểu tượng thùng rác</t>
  </si>
  <si>
    <t>File bị xóa;Không còn hiển thị trong danh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</si>
</sst>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b/>
      <sz val="12"/>
      <color rgb="FFFFFFFF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9C0006"/>
      <name val="Arial"/>
      <family val="2"/>
    </font>
    <font>
      <b/>
      <sz val="11"/>
      <color rgb="FF333F4F"/>
      <name val="Arial"/>
      <family val="2"/>
    </font>
    <font>
      <b/>
      <sz val="12"/>
      <color rgb="FF006100"/>
      <name val="Arial"/>
      <family val="2"/>
    </font>
    <font>
      <b/>
      <sz val="12"/>
      <color rgb="FF9C0006"/>
      <name val="Arial"/>
      <family val="2"/>
    </font>
    <font>
      <b/>
      <sz val="12"/>
      <color rgb="FF783F04"/>
      <name val="Arial"/>
      <family val="2"/>
    </font>
    <font>
      <b/>
      <sz val="14"/>
      <color rgb="FFFF0000"/>
      <name val="Arial"/>
      <family val="2"/>
    </font>
    <font>
      <b/>
      <sz val="14"/>
      <color rgb="FF333F4F"/>
      <name val="Arial"/>
      <family val="2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Arial"/>
      <charset val="1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b/>
      <sz val="11"/>
      <color rgb="FF000000"/>
      <name val="Calibri"/>
      <family val="2"/>
    </font>
    <font>
      <b/>
      <sz val="11"/>
      <color rgb="FF000000"/>
      <name val="Arial"/>
      <charset val="1"/>
    </font>
    <font>
      <sz val="11"/>
      <color rgb="FF000000"/>
      <name val="Aptos Narrow"/>
      <family val="2"/>
      <scheme val="minor"/>
    </font>
    <font>
      <b/>
      <sz val="11"/>
      <color rgb="FF000000"/>
      <name val="Arial"/>
    </font>
    <font>
      <sz val="11"/>
      <color rgb="FF000000"/>
      <name val="Calibri"/>
    </font>
    <font>
      <b/>
      <sz val="10"/>
      <color rgb="FF9C0006"/>
      <name val="Arial"/>
    </font>
    <font>
      <sz val="11"/>
      <name val="Calibri"/>
    </font>
    <font>
      <b/>
      <sz val="11"/>
      <color rgb="FF333F4F"/>
      <name val="Arial"/>
    </font>
    <font>
      <b/>
      <sz val="12"/>
      <color rgb="FFFFFFFF"/>
      <name val="Arial"/>
    </font>
    <font>
      <b/>
      <sz val="12"/>
      <color rgb="FF006100"/>
      <name val="Arial"/>
    </font>
    <font>
      <b/>
      <sz val="12"/>
      <color rgb="FF9C0006"/>
      <name val="Arial"/>
    </font>
    <font>
      <b/>
      <sz val="12"/>
      <color rgb="FF783F04"/>
      <name val="Arial"/>
    </font>
    <font>
      <b/>
      <sz val="14"/>
      <color rgb="FFFF0000"/>
      <name val="Arial"/>
    </font>
    <font>
      <b/>
      <sz val="14"/>
      <color theme="1"/>
      <name val="Arial"/>
    </font>
    <font>
      <b/>
      <sz val="14"/>
      <color rgb="FF333F4F"/>
      <name val="Arial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0"/>
      <color theme="1"/>
      <name val="Arial"/>
    </font>
    <font>
      <b/>
      <sz val="11"/>
      <color rgb="FF000000"/>
      <name val="Calibri"/>
    </font>
    <font>
      <b/>
      <sz val="18"/>
      <color rgb="FFFFFFFF"/>
      <name val="Arial"/>
    </font>
    <font>
      <b/>
      <sz val="12"/>
      <color theme="1"/>
      <name val="Arial"/>
    </font>
    <font>
      <sz val="12"/>
      <color rgb="FF000000"/>
      <name val="Calibri"/>
      <family val="2"/>
    </font>
    <font>
      <sz val="12"/>
      <color theme="1"/>
      <name val="Arial"/>
    </font>
    <font>
      <b/>
      <sz val="48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E0AC0B"/>
        <bgColor rgb="FFE0AC0B"/>
      </patternFill>
    </fill>
    <fill>
      <patternFill patternType="solid">
        <fgColor rgb="FFFFE79B"/>
        <bgColor rgb="FFFFE79B"/>
      </patternFill>
    </fill>
    <fill>
      <patternFill patternType="solid">
        <fgColor rgb="FF333F4F"/>
        <bgColor rgb="FF333F4F"/>
      </patternFill>
    </fill>
    <fill>
      <patternFill patternType="solid">
        <fgColor rgb="FF8497B0"/>
        <bgColor rgb="FF8497B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497B0"/>
      </left>
      <right style="thin">
        <color rgb="FF8497B0"/>
      </right>
      <top style="thin">
        <color rgb="FF8497B0"/>
      </top>
      <bottom/>
      <diagonal/>
    </border>
    <border>
      <left style="thin">
        <color rgb="FF8497B0"/>
      </left>
      <right style="thin">
        <color rgb="FF8497B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15" fillId="0" borderId="4" xfId="0" applyNumberFormat="1" applyFont="1" applyBorder="1" applyAlignment="1">
      <alignment horizontal="center" vertical="top" wrapText="1"/>
    </xf>
    <xf numFmtId="9" fontId="15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5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9" fontId="15" fillId="0" borderId="4" xfId="0" applyNumberFormat="1" applyFont="1" applyBorder="1" applyAlignment="1">
      <alignment horizontal="center" vertical="top"/>
    </xf>
    <xf numFmtId="9" fontId="15" fillId="0" borderId="4" xfId="0" applyNumberFormat="1" applyFont="1" applyBorder="1" applyAlignment="1">
      <alignment horizontal="center" vertical="center"/>
    </xf>
    <xf numFmtId="0" fontId="16" fillId="8" borderId="0" xfId="0" applyFont="1" applyFill="1"/>
    <xf numFmtId="0" fontId="1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6" fillId="8" borderId="0" xfId="0" applyFont="1" applyFill="1" applyAlignment="1">
      <alignment wrapText="1"/>
    </xf>
    <xf numFmtId="0" fontId="18" fillId="0" borderId="0" xfId="0" applyFont="1"/>
    <xf numFmtId="0" fontId="16" fillId="8" borderId="0" xfId="0" applyFont="1" applyFill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7" fillId="0" borderId="4" xfId="0" applyFont="1" applyBorder="1" applyAlignment="1">
      <alignment vertical="top"/>
    </xf>
    <xf numFmtId="0" fontId="0" fillId="0" borderId="11" xfId="0" applyBorder="1"/>
    <xf numFmtId="0" fontId="24" fillId="0" borderId="4" xfId="0" applyFont="1" applyBorder="1"/>
    <xf numFmtId="0" fontId="25" fillId="0" borderId="4" xfId="0" applyFont="1" applyBorder="1"/>
    <xf numFmtId="0" fontId="21" fillId="0" borderId="0" xfId="0" applyFont="1" applyAlignment="1">
      <alignment vertical="center" wrapText="1"/>
    </xf>
    <xf numFmtId="0" fontId="26" fillId="0" borderId="0" xfId="0" applyFont="1" applyAlignment="1">
      <alignment wrapText="1"/>
    </xf>
    <xf numFmtId="0" fontId="32" fillId="5" borderId="4" xfId="0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horizontal="center" vertical="center" wrapText="1"/>
    </xf>
    <xf numFmtId="0" fontId="34" fillId="7" borderId="4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9" fontId="38" fillId="0" borderId="4" xfId="0" applyNumberFormat="1" applyFont="1" applyBorder="1" applyAlignment="1">
      <alignment horizontal="center" vertical="top" wrapText="1"/>
    </xf>
    <xf numFmtId="9" fontId="38" fillId="0" borderId="4" xfId="0" applyNumberFormat="1" applyFont="1" applyBorder="1" applyAlignment="1">
      <alignment horizontal="center" vertical="center" wrapText="1"/>
    </xf>
    <xf numFmtId="0" fontId="40" fillId="0" borderId="0" xfId="0" applyFont="1"/>
    <xf numFmtId="0" fontId="39" fillId="0" borderId="0" xfId="1"/>
    <xf numFmtId="0" fontId="41" fillId="0" borderId="0" xfId="0" applyFont="1" applyAlignment="1">
      <alignment horizontal="center" vertical="center" wrapText="1"/>
    </xf>
    <xf numFmtId="0" fontId="32" fillId="5" borderId="4" xfId="0" applyFont="1" applyFill="1" applyBorder="1" applyAlignment="1">
      <alignment horizontal="center" vertical="center"/>
    </xf>
    <xf numFmtId="0" fontId="34" fillId="7" borderId="4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9" fontId="38" fillId="0" borderId="4" xfId="0" applyNumberFormat="1" applyFont="1" applyBorder="1" applyAlignment="1">
      <alignment horizontal="center" vertical="top"/>
    </xf>
    <xf numFmtId="9" fontId="38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6" fillId="0" borderId="4" xfId="0" applyFont="1" applyBorder="1" applyAlignment="1">
      <alignment vertical="center"/>
    </xf>
    <xf numFmtId="0" fontId="1" fillId="0" borderId="0" xfId="0" applyFont="1"/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2" fillId="0" borderId="4" xfId="0" applyFont="1" applyBorder="1"/>
    <xf numFmtId="0" fontId="47" fillId="2" borderId="13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 wrapText="1"/>
    </xf>
    <xf numFmtId="0" fontId="43" fillId="2" borderId="14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43" fillId="2" borderId="8" xfId="0" applyFont="1" applyFill="1" applyBorder="1" applyAlignment="1">
      <alignment horizontal="center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43" fillId="2" borderId="12" xfId="0" applyFont="1" applyFill="1" applyBorder="1" applyAlignment="1">
      <alignment horizontal="center" vertical="center" wrapText="1"/>
    </xf>
    <xf numFmtId="0" fontId="43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8" fillId="0" borderId="7" xfId="0" applyFont="1" applyBorder="1"/>
    <xf numFmtId="0" fontId="9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top" wrapText="1"/>
    </xf>
    <xf numFmtId="0" fontId="2" fillId="0" borderId="8" xfId="0" applyFont="1" applyBorder="1"/>
    <xf numFmtId="0" fontId="2" fillId="0" borderId="9" xfId="0" applyFont="1" applyBorder="1"/>
    <xf numFmtId="14" fontId="9" fillId="0" borderId="4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top"/>
    </xf>
    <xf numFmtId="14" fontId="9" fillId="0" borderId="4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left" vertical="top" wrapText="1"/>
    </xf>
    <xf numFmtId="0" fontId="28" fillId="0" borderId="7" xfId="0" applyFont="1" applyBorder="1"/>
    <xf numFmtId="0" fontId="29" fillId="0" borderId="4" xfId="0" applyFont="1" applyBorder="1" applyAlignment="1">
      <alignment horizontal="left" vertical="center" wrapText="1"/>
    </xf>
    <xf numFmtId="0" fontId="30" fillId="0" borderId="4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top" wrapText="1"/>
    </xf>
    <xf numFmtId="0" fontId="30" fillId="0" borderId="8" xfId="0" applyFont="1" applyBorder="1"/>
    <xf numFmtId="0" fontId="30" fillId="0" borderId="9" xfId="0" applyFont="1" applyBorder="1"/>
    <xf numFmtId="14" fontId="29" fillId="0" borderId="4" xfId="0" applyNumberFormat="1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top"/>
    </xf>
    <xf numFmtId="0" fontId="29" fillId="0" borderId="4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top"/>
    </xf>
    <xf numFmtId="14" fontId="29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14" fontId="9" fillId="0" borderId="10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42" fillId="0" borderId="10" xfId="0" applyFont="1" applyBorder="1" applyAlignment="1">
      <alignment horizontal="left" vertical="center"/>
    </xf>
    <xf numFmtId="0" fontId="42" fillId="0" borderId="1" xfId="0" applyFont="1" applyBorder="1" applyAlignment="1">
      <alignment horizontal="left"/>
    </xf>
    <xf numFmtId="0" fontId="42" fillId="0" borderId="10" xfId="0" applyFont="1" applyBorder="1" applyAlignment="1">
      <alignment horizontal="left"/>
    </xf>
    <xf numFmtId="0" fontId="42" fillId="0" borderId="1" xfId="0" applyFont="1" applyBorder="1" applyAlignment="1">
      <alignment horizontal="left" vertical="top"/>
    </xf>
    <xf numFmtId="0" fontId="42" fillId="0" borderId="1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344"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161925</xdr:rowOff>
    </xdr:from>
    <xdr:to>
      <xdr:col>1</xdr:col>
      <xdr:colOff>1323975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EC15D0-EA80-40B4-B6C9-23B57E728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61925"/>
          <a:ext cx="2838450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0</xdr:col>
      <xdr:colOff>2571750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216BE8-B790-470D-AB73-85185A19D80E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76200"/>
          <a:ext cx="2466975" cy="447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05A363-F17D-41B9-9B03-798C17EE5455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0</xdr:col>
      <xdr:colOff>2571750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C48E6-69FC-4014-9052-EF7C7C1E8453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76200"/>
          <a:ext cx="2466975" cy="44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0</xdr:col>
      <xdr:colOff>2571750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7949CA-6BA7-413E-A78C-9042A17F43DF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76200"/>
          <a:ext cx="2466975" cy="44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0</xdr:col>
      <xdr:colOff>2571750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CCBE5B-E4F2-45F3-BB2E-B5163CA586D0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76200"/>
          <a:ext cx="2466975" cy="447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0</xdr:col>
      <xdr:colOff>2571750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B3297-8C22-41AA-8FF2-CA77A3A13A49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76200"/>
          <a:ext cx="2466975" cy="44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0</xdr:col>
      <xdr:colOff>2571750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136A1-E730-4352-8D4E-93A90B69ECCD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76200"/>
          <a:ext cx="2466975" cy="447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0</xdr:col>
      <xdr:colOff>2571750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8FD05-8ED6-46D1-AACB-C85444040CCE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76200"/>
          <a:ext cx="2466975" cy="447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93B0A3-9CCA-403A-AF78-AF18AC8B334C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27159-17D3-41E4-B385-95E11D5B8E5C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B20DC-9293-4AC4-BBD2-0C5C33E4185E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51A6B-20AC-4363-B30F-6CD5181BEC4E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B51B36-3913-495A-B1DA-B3A571411EA9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41222-5C65-46FD-BE2C-71FA149F962C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C6EAD2-5770-40F7-80C4-79945B3F7B4C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56C74-6A4F-489F-ACD9-422AA9FB006B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7BAE0F-64B1-45BD-B20C-6829418C004B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2495550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94C4B-274E-4CF4-B76E-E644DB9C457D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76200"/>
          <a:ext cx="2466975" cy="4476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2495550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39780-9A69-42D0-9325-72877DB6C48B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76200"/>
          <a:ext cx="2466975" cy="4476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633E9D-7ACB-4484-9BAB-CF475C328082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607762-A2D0-430C-B888-99B667EAB66D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CC91D5-AABE-4D3C-AC3A-BAA61F97B701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2BBEE-545B-4A13-AFC4-EC8F1D386D95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3574B-ACEB-42AF-A571-FF075F8C171E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1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A2B624-589B-4BD0-AC5E-ED1E6FE753B0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F19A2-E6D8-4D38-A4E3-502240EBD834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40E0D-A368-41BD-9024-DBD49023F89A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9B5DD1-94AD-4F25-AD7B-448851209E4D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96CD1-8C84-4997-8D15-10E5573F9DC1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6F7EA2-0F02-4158-9DBD-1D2D07A76A82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1</xdr:col>
      <xdr:colOff>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AB611-E5DE-4055-84E8-D72E3C9CDDAD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D142C-5184-42A0-9861-9B2F5E9094C5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3A98E6-2B40-41E9-A39C-EDBCE5FB26B5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1</xdr:col>
      <xdr:colOff>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8258B-E344-438D-A390-7EBA3BFB0358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4DBAD2-4AB5-48DA-A2A6-FCECA0C7E048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C0442-8F88-4265-853E-A13FF1273E0B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CB3E9-E6D6-4CF8-89C7-C89470754C71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1</xdr:col>
      <xdr:colOff>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D037C5-4543-4C6B-AB9E-AD3D22EEFA8A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B8389-F2A0-450B-BE52-76FB9B685242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373C8D-A6BA-4B1C-BFC4-6D297A00F5CA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BF3B94-AC54-42D7-A0EB-47BD1F8546B3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1</xdr:col>
      <xdr:colOff>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921268-B757-4AD6-B79D-ADEC657FCA64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85725</xdr:rowOff>
    </xdr:from>
    <xdr:to>
      <xdr:col>0</xdr:col>
      <xdr:colOff>2524125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75FEE-85D4-47E9-96AA-123A4501B55F}"/>
            </a:ext>
            <a:ext uri="{147F2762-F138-4A5C-976F-8EAC2B608ADB}">
              <a16:predDERef xmlns:a16="http://schemas.microsoft.com/office/drawing/2014/main" pred="{3F6F2213-20DD-55FA-9986-C59B96D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85725"/>
          <a:ext cx="2466975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hyperlink" Target="https://jira-vnv.vinova.sg/browse/BEEOS-582" TargetMode="External"/><Relationship Id="rId1" Type="http://schemas.openxmlformats.org/officeDocument/2006/relationships/hyperlink" Target="https://jira-vnv.vinova.sg/browse/BEEOS-580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2" workbookViewId="0">
      <selection activeCell="K14" sqref="K14"/>
    </sheetView>
  </sheetViews>
  <sheetFormatPr defaultRowHeight="14.5" x14ac:dyDescent="0.35"/>
  <cols>
    <col min="1" max="1" width="27.81640625" customWidth="1"/>
    <col min="2" max="2" width="26.7265625" customWidth="1"/>
    <col min="3" max="7" width="27.81640625" customWidth="1"/>
  </cols>
  <sheetData>
    <row r="1" spans="1:7" ht="22.5" customHeight="1" x14ac:dyDescent="0.35">
      <c r="A1" s="63"/>
      <c r="B1" s="64"/>
      <c r="C1" s="67" t="s">
        <v>0</v>
      </c>
      <c r="D1" s="68"/>
      <c r="E1" s="68"/>
      <c r="F1" s="69"/>
      <c r="G1" s="1"/>
    </row>
    <row r="2" spans="1:7" x14ac:dyDescent="0.35">
      <c r="A2" s="64"/>
      <c r="B2" s="64"/>
      <c r="C2" s="70"/>
      <c r="D2" s="71"/>
      <c r="E2" s="71"/>
      <c r="F2" s="72"/>
      <c r="G2" s="1"/>
    </row>
    <row r="3" spans="1:7" x14ac:dyDescent="0.35">
      <c r="A3" s="64"/>
      <c r="B3" s="64"/>
      <c r="C3" s="70"/>
      <c r="D3" s="71"/>
      <c r="E3" s="71"/>
      <c r="F3" s="72"/>
      <c r="G3" s="1"/>
    </row>
    <row r="4" spans="1:7" x14ac:dyDescent="0.35">
      <c r="A4" s="64"/>
      <c r="B4" s="64"/>
      <c r="C4" s="73"/>
      <c r="D4" s="74"/>
      <c r="E4" s="74"/>
      <c r="F4" s="75"/>
      <c r="G4" s="1"/>
    </row>
    <row r="5" spans="1:7" ht="15.5" x14ac:dyDescent="0.3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  <c r="F5" s="5" t="s">
        <v>6</v>
      </c>
      <c r="G5" s="4" t="s">
        <v>7</v>
      </c>
    </row>
    <row r="6" spans="1:7" ht="15.5" x14ac:dyDescent="0.35">
      <c r="A6" s="8">
        <v>1</v>
      </c>
      <c r="B6" s="60" t="s">
        <v>8</v>
      </c>
      <c r="C6" s="61">
        <f>SUM('BeeOS - Đăng nhập'!G2)</f>
        <v>17</v>
      </c>
      <c r="D6" s="62">
        <f>SUM('BeeOS - Đăng nhập'!H2)</f>
        <v>17</v>
      </c>
      <c r="E6" s="62">
        <f>SUM('BeeOS - Đăng nhập'!I2)</f>
        <v>0</v>
      </c>
      <c r="F6" s="62">
        <f>SUM('BeeOS - Đăng nhập'!J2)</f>
        <v>0</v>
      </c>
      <c r="G6" s="8"/>
    </row>
    <row r="7" spans="1:7" ht="15.5" x14ac:dyDescent="0.35">
      <c r="A7" s="8">
        <v>2</v>
      </c>
      <c r="B7" s="60" t="s">
        <v>9</v>
      </c>
      <c r="C7" s="61">
        <f>SUM('BeeOS - Đăng Xuất'!G2)</f>
        <v>5</v>
      </c>
      <c r="D7" s="62">
        <f>SUM('BeeOS - Đăng Xuất'!H2)</f>
        <v>5</v>
      </c>
      <c r="E7" s="62">
        <f>SUM('BeeOS - Đăng Xuất'!I2)</f>
        <v>0</v>
      </c>
      <c r="F7" s="62">
        <f>SUM('BeeOS - Đăng Xuất'!J2)</f>
        <v>0</v>
      </c>
      <c r="G7" s="8"/>
    </row>
    <row r="8" spans="1:7" ht="15.5" x14ac:dyDescent="0.35">
      <c r="A8" s="8">
        <v>3</v>
      </c>
      <c r="B8" s="60" t="s">
        <v>10</v>
      </c>
      <c r="C8" s="61">
        <f>SUM('BeeOS - Quản lý Pham vi BH'!G2)</f>
        <v>21</v>
      </c>
      <c r="D8" s="62">
        <f>SUM('BeeOS - Quản lý Pham vi BH'!H2)</f>
        <v>21</v>
      </c>
      <c r="E8" s="62">
        <f>SUM('BeeOS - Quản lý Pham vi BH'!I2)</f>
        <v>0</v>
      </c>
      <c r="F8" s="62">
        <f>SUM('BeeOS - Quản lý Pham vi BH'!J2)</f>
        <v>0</v>
      </c>
      <c r="G8" s="8"/>
    </row>
    <row r="9" spans="1:7" ht="15.5" x14ac:dyDescent="0.35">
      <c r="A9" s="8">
        <v>4</v>
      </c>
      <c r="B9" s="60" t="s">
        <v>11</v>
      </c>
      <c r="C9" s="61">
        <f>SUM('BeeOS - Quản lý Mức khấu trừ'!G2)</f>
        <v>20</v>
      </c>
      <c r="D9" s="62">
        <f>SUM('BeeOS - Quản lý Mức khấu trừ'!H2)</f>
        <v>20</v>
      </c>
      <c r="E9" s="62">
        <f>SUM('BeeOS - Quản lý Mức khấu trừ'!I2)</f>
        <v>0</v>
      </c>
      <c r="F9" s="62">
        <f>SUM('BeeOS - Quản lý Mức khấu trừ'!J2)</f>
        <v>0</v>
      </c>
      <c r="G9" s="8"/>
    </row>
    <row r="10" spans="1:7" ht="15.5" x14ac:dyDescent="0.35">
      <c r="A10" s="8">
        <v>5</v>
      </c>
      <c r="B10" s="60" t="s">
        <v>12</v>
      </c>
      <c r="C10" s="61">
        <f>SUM('BeeOS - Quản lý Loại hình BH'!G2)</f>
        <v>26</v>
      </c>
      <c r="D10" s="62">
        <f>SUM('BeeOS - Quản lý Loại hình BH'!H2)</f>
        <v>26</v>
      </c>
      <c r="E10" s="62">
        <f>SUM('BeeOS - Quản lý Loại hình BH'!I2)</f>
        <v>0</v>
      </c>
      <c r="F10" s="62">
        <f>SUM('BeeOS - Quản lý Loại hình BH'!J2)</f>
        <v>0</v>
      </c>
      <c r="G10" s="8"/>
    </row>
    <row r="11" spans="1:7" ht="15.5" x14ac:dyDescent="0.35">
      <c r="A11" s="8">
        <v>6</v>
      </c>
      <c r="B11" s="60" t="s">
        <v>13</v>
      </c>
      <c r="C11" s="61">
        <f>SUM('BeeOS - Quản lý ĐK bổ sung'!G2)</f>
        <v>15</v>
      </c>
      <c r="D11" s="62">
        <f>SUM('BeeOS - Quản lý ĐK bổ sung'!H2)</f>
        <v>15</v>
      </c>
      <c r="E11" s="62">
        <f>SUM('BeeOS - Quản lý ĐK bổ sung'!I2)</f>
        <v>0</v>
      </c>
      <c r="F11" s="62">
        <f>SUM('BeeOS - Quản lý ĐK bổ sung'!J2)</f>
        <v>0</v>
      </c>
      <c r="G11" s="8"/>
    </row>
    <row r="12" spans="1:7" ht="15.5" x14ac:dyDescent="0.35">
      <c r="A12" s="8">
        <v>7</v>
      </c>
      <c r="B12" s="60" t="s">
        <v>14</v>
      </c>
      <c r="C12" s="61">
        <f>SUM('BeeOS - Quản lý Nhóm Tổn Thất'!G2)</f>
        <v>16</v>
      </c>
      <c r="D12" s="62">
        <f>SUM('BeeOS - Quản lý Nhóm Tổn Thất'!H2)</f>
        <v>16</v>
      </c>
      <c r="E12" s="62">
        <f>SUM('BeeOS - Quản lý Nhóm Tổn Thất'!I2)</f>
        <v>0</v>
      </c>
      <c r="F12" s="62">
        <f>SUM('BeeOS - Quản lý Nhóm Tổn Thất'!J2)</f>
        <v>0</v>
      </c>
      <c r="G12" s="8"/>
    </row>
    <row r="13" spans="1:7" ht="15.5" x14ac:dyDescent="0.35">
      <c r="A13" s="8">
        <v>8</v>
      </c>
      <c r="B13" s="60" t="s">
        <v>15</v>
      </c>
      <c r="C13" s="61">
        <f>SUM('BeeOS - Quản lý Công ty BH'!G2)</f>
        <v>34</v>
      </c>
      <c r="D13" s="62">
        <f>SUM('BeeOS - Quản lý Công ty BH'!H2)</f>
        <v>34</v>
      </c>
      <c r="E13" s="62">
        <f>SUM('BeeOS - Quản lý Công ty BH'!I2)</f>
        <v>0</v>
      </c>
      <c r="F13" s="62">
        <f>SUM('BeeOS - Quản lý Công ty BH'!J2)</f>
        <v>0</v>
      </c>
      <c r="G13" s="8"/>
    </row>
    <row r="14" spans="1:7" ht="15.5" x14ac:dyDescent="0.35">
      <c r="A14" s="8">
        <v>9</v>
      </c>
      <c r="B14" s="60" t="s">
        <v>16</v>
      </c>
      <c r="C14" s="61">
        <f>SUM('BeeOS - Quản lý P&amp;L'!G2)</f>
        <v>30</v>
      </c>
      <c r="D14" s="62">
        <f>SUM('BeeOS - Quản lý P&amp;L'!H2)</f>
        <v>30</v>
      </c>
      <c r="E14" s="62">
        <f>SUM('BeeOS - Quản lý P&amp;L'!I2)</f>
        <v>0</v>
      </c>
      <c r="F14" s="62">
        <f>SUM('BeeOS - Quản lý P&amp;L'!J2)</f>
        <v>0</v>
      </c>
      <c r="G14" s="8"/>
    </row>
    <row r="15" spans="1:7" ht="15.5" x14ac:dyDescent="0.35">
      <c r="A15" s="8">
        <v>10</v>
      </c>
      <c r="B15" s="60" t="s">
        <v>17</v>
      </c>
      <c r="C15" s="61">
        <f>SUM('BeeOS - Quản lý địa điểm'!G2)</f>
        <v>23</v>
      </c>
      <c r="D15" s="62">
        <f>SUM('BeeOS - Quản lý địa điểm'!H2)</f>
        <v>23</v>
      </c>
      <c r="E15" s="62">
        <f>SUM('BeeOS - Quản lý địa điểm'!I2)</f>
        <v>0</v>
      </c>
      <c r="F15" s="62">
        <f>SUM('BeeOS - Quản lý địa điểm'!J2)</f>
        <v>0</v>
      </c>
      <c r="G15" s="8"/>
    </row>
    <row r="16" spans="1:7" ht="15.5" x14ac:dyDescent="0.35">
      <c r="A16" s="8">
        <v>11</v>
      </c>
      <c r="B16" s="60" t="s">
        <v>18</v>
      </c>
      <c r="C16" s="61">
        <f>SUM('BeeOS - Tài khoản'!G2)</f>
        <v>24</v>
      </c>
      <c r="D16" s="62">
        <f>SUM('BeeOS - Tài khoản'!H2)</f>
        <v>24</v>
      </c>
      <c r="E16" s="62">
        <f>SUM('BeeOS - Tài khoản'!I2)</f>
        <v>0</v>
      </c>
      <c r="F16" s="62">
        <f>SUM('BeeOS - Tài khoản'!J2)</f>
        <v>0</v>
      </c>
      <c r="G16" s="8"/>
    </row>
    <row r="17" spans="1:7" ht="15.5" x14ac:dyDescent="0.35">
      <c r="A17" s="8">
        <v>12</v>
      </c>
      <c r="B17" s="60" t="s">
        <v>19</v>
      </c>
      <c r="C17" s="61">
        <f>SUM('BeeOS - Cài đặt chế độ bảo trì'!G2)</f>
        <v>8</v>
      </c>
      <c r="D17" s="62">
        <f>SUM('BeeOS - Cài đặt chế độ bảo trì'!H2)</f>
        <v>8</v>
      </c>
      <c r="E17" s="62">
        <f>SUM('BeeOS - Cài đặt chế độ bảo trì'!I2)</f>
        <v>0</v>
      </c>
      <c r="F17" s="62">
        <f>SUM('BeeOS - Cài đặt chế độ bảo trì'!J2)</f>
        <v>0</v>
      </c>
      <c r="G17" s="8"/>
    </row>
    <row r="18" spans="1:7" ht="15.5" x14ac:dyDescent="0.35">
      <c r="A18" s="8">
        <v>13</v>
      </c>
      <c r="B18" s="60" t="s">
        <v>20</v>
      </c>
      <c r="C18" s="61">
        <f>SUM('BeeOS - Cài đặt thông báo'!G2)</f>
        <v>8</v>
      </c>
      <c r="D18" s="62">
        <f>SUM('BeeOS - Cài đặt thông báo'!H2)</f>
        <v>8</v>
      </c>
      <c r="E18" s="62">
        <f>SUM('BeeOS - Cài đặt thông báo'!I2)</f>
        <v>0</v>
      </c>
      <c r="F18" s="62">
        <f>SUM('BeeOS - Cài đặt thông báo'!J2)</f>
        <v>0</v>
      </c>
      <c r="G18" s="8"/>
    </row>
    <row r="19" spans="1:7" ht="15.5" x14ac:dyDescent="0.35">
      <c r="A19" s="8">
        <v>14</v>
      </c>
      <c r="B19" s="60" t="s">
        <v>21</v>
      </c>
      <c r="C19" s="61">
        <f>SUM('BeeOS - Quản lý HĐBH(B1)'!G2)</f>
        <v>16</v>
      </c>
      <c r="D19" s="62">
        <f>SUM('BeeOS - Quản lý HĐBH(B1)'!H2)</f>
        <v>16</v>
      </c>
      <c r="E19" s="62">
        <f>SUM('BeeOS - Quản lý HĐBH(B1)'!I2)</f>
        <v>0</v>
      </c>
      <c r="F19" s="62">
        <f>SUM('BeeOS - Quản lý HĐBH(B1)'!J2)</f>
        <v>0</v>
      </c>
      <c r="G19" s="8"/>
    </row>
    <row r="20" spans="1:7" ht="15.5" x14ac:dyDescent="0.35">
      <c r="A20" s="8">
        <v>15</v>
      </c>
      <c r="B20" s="60" t="s">
        <v>22</v>
      </c>
      <c r="C20" s="61">
        <f>SUM('BeeOS - Quản lý HĐBH(B2)'!G2)</f>
        <v>10</v>
      </c>
      <c r="D20" s="62">
        <f>SUM('BeeOS - Quản lý HĐBH(B2)'!H2)</f>
        <v>10</v>
      </c>
      <c r="E20" s="62">
        <f>SUM('BeeOS - Quản lý HĐBH(B2)'!I2)</f>
        <v>0</v>
      </c>
      <c r="F20" s="62">
        <f>SUM('BeeOS - Quản lý HĐBH(B2)'!J2)</f>
        <v>0</v>
      </c>
      <c r="G20" s="8"/>
    </row>
    <row r="21" spans="1:7" ht="15.5" x14ac:dyDescent="0.35">
      <c r="A21" s="8">
        <v>16</v>
      </c>
      <c r="B21" s="60" t="s">
        <v>23</v>
      </c>
      <c r="C21" s="61">
        <f>SUM('BeeOS - Quản lý HĐBH(B3)'!G2)</f>
        <v>10</v>
      </c>
      <c r="D21" s="62">
        <f>SUM('BeeOS - Quản lý HĐBH(B3)'!H2)</f>
        <v>10</v>
      </c>
      <c r="E21" s="62">
        <f>SUM('BeeOS - Quản lý HĐBH(B3)'!I2)</f>
        <v>0</v>
      </c>
      <c r="F21" s="62">
        <f>SUM('BeeOS - Quản lý HĐBH(B3)'!J2)</f>
        <v>0</v>
      </c>
      <c r="G21" s="8"/>
    </row>
    <row r="22" spans="1:7" ht="15.5" x14ac:dyDescent="0.35">
      <c r="A22" s="8">
        <v>17</v>
      </c>
      <c r="B22" s="60" t="s">
        <v>24</v>
      </c>
      <c r="C22" s="61">
        <f>SUM('BeeOS - Quản lý HĐBH(B4)'!G2)</f>
        <v>20</v>
      </c>
      <c r="D22" s="62">
        <f>SUM('BeeOS - Quản lý HĐBH(B4)'!H2)</f>
        <v>20</v>
      </c>
      <c r="E22" s="62">
        <f>SUM('BeeOS - Quản lý HĐBH(B4)'!I2)</f>
        <v>0</v>
      </c>
      <c r="F22" s="62">
        <f>SUM('BeeOS - Quản lý HĐBH(B4)'!J2)</f>
        <v>0</v>
      </c>
      <c r="G22" s="8"/>
    </row>
    <row r="23" spans="1:7" ht="15.5" x14ac:dyDescent="0.35">
      <c r="A23" s="8">
        <v>18</v>
      </c>
      <c r="B23" s="60" t="s">
        <v>25</v>
      </c>
      <c r="C23" s="61">
        <f>SUM('BeeOS - KT Bản chào phí'!G2)</f>
        <v>16</v>
      </c>
      <c r="D23" s="62">
        <f>SUM('BeeOS - KT Bản chào phí'!H2)</f>
        <v>16</v>
      </c>
      <c r="E23" s="62">
        <f>SUM('BeeOS - KT Bản chào phí'!I2)</f>
        <v>0</v>
      </c>
      <c r="F23" s="62">
        <f>SUM('BeeOS - KT Bản chào phí'!J2)</f>
        <v>0</v>
      </c>
      <c r="G23" s="8"/>
    </row>
    <row r="24" spans="1:7" ht="15.5" x14ac:dyDescent="0.35">
      <c r="A24" s="8">
        <v>19</v>
      </c>
      <c r="B24" s="60" t="s">
        <v>26</v>
      </c>
      <c r="C24" s="61">
        <f>SUM('BeeOS - Tạo phụ lục HĐBH(B1)'!G2)</f>
        <v>22</v>
      </c>
      <c r="D24" s="62">
        <f>SUM('BeeOS - Tạo phụ lục HĐBH(B1)'!H2)</f>
        <v>22</v>
      </c>
      <c r="E24" s="62">
        <f>SUM('BeeOS - Tạo phụ lục HĐBH(B1)'!I2)</f>
        <v>0</v>
      </c>
      <c r="F24" s="62">
        <f>SUM('BeeOS - Tạo phụ lục HĐBH(B1)'!J2)</f>
        <v>0</v>
      </c>
      <c r="G24" s="8"/>
    </row>
    <row r="25" spans="1:7" ht="15.5" x14ac:dyDescent="0.35">
      <c r="A25" s="8">
        <v>20</v>
      </c>
      <c r="B25" s="60" t="s">
        <v>27</v>
      </c>
      <c r="C25" s="61">
        <f>SUM('BeeOS - Tạo Phụ lục HĐ(B2)'!G2)</f>
        <v>19</v>
      </c>
      <c r="D25" s="62">
        <f>SUM('BeeOS - Tạo Phụ lục HĐ(B2)'!H2)</f>
        <v>19</v>
      </c>
      <c r="E25" s="62">
        <f>SUM('BeeOS - Tạo Phụ lục HĐ(B2)'!I2)</f>
        <v>0</v>
      </c>
      <c r="F25" s="62">
        <f>SUM('BeeOS - Tạo Phụ lục HĐ(B2)'!J2)</f>
        <v>0</v>
      </c>
      <c r="G25" s="8"/>
    </row>
    <row r="26" spans="1:7" ht="15.5" x14ac:dyDescent="0.35">
      <c r="A26" s="8">
        <v>21</v>
      </c>
      <c r="B26" s="60" t="s">
        <v>28</v>
      </c>
      <c r="C26" s="61">
        <f>SUM('BeeOS -Trang vận hành cấp đơn'!G2)</f>
        <v>18</v>
      </c>
      <c r="D26" s="62">
        <f>SUM('BeeOS -Trang vận hành cấp đơn'!H2)</f>
        <v>18</v>
      </c>
      <c r="E26" s="62">
        <f>SUM('BeeOS -Trang vận hành cấp đơn'!I2)</f>
        <v>0</v>
      </c>
      <c r="F26" s="62">
        <f>SUM('BeeOS -Trang vận hành cấp đơn'!J2)</f>
        <v>0</v>
      </c>
      <c r="G26" s="8"/>
    </row>
    <row r="27" spans="1:7" ht="15.5" x14ac:dyDescent="0.35">
      <c r="A27" s="8">
        <v>22</v>
      </c>
      <c r="B27" s="60" t="s">
        <v>29</v>
      </c>
      <c r="C27" s="61">
        <f>SUM('BeeOS - Trang List HĐBH'!G2)</f>
        <v>21</v>
      </c>
      <c r="D27" s="62">
        <f>SUM('BeeOS - Trang List HĐBH'!H2)</f>
        <v>21</v>
      </c>
      <c r="E27" s="62">
        <f>SUM('BeeOS - Trang List HĐBH'!I2)</f>
        <v>0</v>
      </c>
      <c r="F27" s="62">
        <f>SUM('BeeOS - Trang List HĐBH'!J2)</f>
        <v>0</v>
      </c>
      <c r="G27" s="8"/>
    </row>
    <row r="28" spans="1:7" ht="15.5" x14ac:dyDescent="0.35">
      <c r="A28" s="8">
        <v>23</v>
      </c>
      <c r="B28" s="60" t="s">
        <v>30</v>
      </c>
      <c r="C28" s="61">
        <f>SUM('BeeOS - ChiTiết HĐ (Nháp)'!G2)</f>
        <v>9</v>
      </c>
      <c r="D28" s="62">
        <f>SUM('BeeOS - ChiTiết HĐ (Nháp)'!H2)</f>
        <v>9</v>
      </c>
      <c r="E28" s="62">
        <f>SUM('BeeOS - ChiTiết HĐ (Nháp)'!I2)</f>
        <v>0</v>
      </c>
      <c r="F28" s="62">
        <f>SUM('BeeOS - ChiTiết HĐ (Nháp)'!J2)</f>
        <v>0</v>
      </c>
      <c r="G28" s="8"/>
    </row>
    <row r="29" spans="1:7" ht="15.5" x14ac:dyDescent="0.35">
      <c r="A29" s="8">
        <v>24</v>
      </c>
      <c r="B29" s="60" t="s">
        <v>31</v>
      </c>
      <c r="C29" s="61">
        <f>SUM('BeeO-ChiTiết HĐ (Chờ Duyệt CT)'!G2)</f>
        <v>12</v>
      </c>
      <c r="D29" s="62">
        <f>SUM('BeeO-ChiTiết HĐ (Chờ Duyệt CT)'!H2)</f>
        <v>12</v>
      </c>
      <c r="E29" s="62">
        <f>SUM('BeeO-ChiTiết HĐ (Chờ Duyệt CT)'!I2)</f>
        <v>0</v>
      </c>
      <c r="F29" s="62">
        <f>SUM('BeeO-ChiTiết HĐ (Chờ Duyệt CT)'!J2)</f>
        <v>0</v>
      </c>
      <c r="G29" s="8"/>
    </row>
    <row r="30" spans="1:7" ht="15.5" x14ac:dyDescent="0.35">
      <c r="A30" s="8">
        <v>25</v>
      </c>
      <c r="B30" s="60" t="s">
        <v>32</v>
      </c>
      <c r="C30" s="61">
        <f>SUM('BeeOS-ChiTiết HĐ (Chỉnh sửa ĐX)'!G2)</f>
        <v>19</v>
      </c>
      <c r="D30" s="62">
        <f>SUM('BeeOS-ChiTiết HĐ (Chỉnh sửa ĐX)'!H2)</f>
        <v>19</v>
      </c>
      <c r="E30" s="62">
        <f>SUM('BeeOS-ChiTiết HĐ (Chỉnh sửa ĐX)'!I2)</f>
        <v>0</v>
      </c>
      <c r="F30" s="62">
        <f>SUM('BeeOS-ChiTiết HĐ (Chỉnh sửa ĐX)'!J2)</f>
        <v>0</v>
      </c>
      <c r="G30" s="8"/>
    </row>
    <row r="31" spans="1:7" ht="15.5" x14ac:dyDescent="0.35">
      <c r="A31" s="8">
        <v>26</v>
      </c>
      <c r="B31" s="60" t="s">
        <v>33</v>
      </c>
      <c r="C31" s="61">
        <f>SUM('BeeOS-ChiTiết HĐ (Đã Duyệt CT)'!G2)</f>
        <v>14</v>
      </c>
      <c r="D31" s="62">
        <f>SUM('BeeOS-ChiTiết HĐ (Đã Duyệt CT)'!H2)</f>
        <v>14</v>
      </c>
      <c r="E31" s="62">
        <f>SUM('BeeOS-ChiTiết HĐ (Đã Duyệt CT)'!I2)</f>
        <v>0</v>
      </c>
      <c r="F31" s="62">
        <f>SUM('BeeOS-ChiTiết HĐ (Đã Duyệt CT)'!J2)</f>
        <v>0</v>
      </c>
      <c r="G31" s="8"/>
    </row>
    <row r="32" spans="1:7" ht="15.5" x14ac:dyDescent="0.35">
      <c r="A32" s="8">
        <v>27</v>
      </c>
      <c r="B32" s="60" t="s">
        <v>34</v>
      </c>
      <c r="C32" s="61">
        <f>SUM('BeeO-ChiTiết HĐ (Chờ Duyệt NL)'!G2)</f>
        <v>14</v>
      </c>
      <c r="D32" s="62">
        <f>SUM('BeeO-ChiTiết HĐ (Chờ Duyệt NL)'!H2)</f>
        <v>14</v>
      </c>
      <c r="E32" s="62">
        <f>SUM('BeeO-ChiTiết HĐ (Chờ Duyệt NL)'!I2)</f>
        <v>0</v>
      </c>
      <c r="F32" s="62">
        <f>SUM('BeeO-ChiTiết HĐ (Chờ Duyệt NL)'!J2)</f>
        <v>0</v>
      </c>
      <c r="G32" s="8"/>
    </row>
    <row r="33" spans="1:7" ht="15.5" x14ac:dyDescent="0.35">
      <c r="A33" s="8">
        <v>28</v>
      </c>
      <c r="B33" s="60" t="s">
        <v>35</v>
      </c>
      <c r="C33" s="61">
        <f>SUM('BeeOS-ChiTiết HĐ (Chỉnh sửa NL)'!G2)</f>
        <v>19</v>
      </c>
      <c r="D33" s="62">
        <f>SUM('BeeOS-ChiTiết HĐ (Chỉnh sửa NL)'!H2)</f>
        <v>19</v>
      </c>
      <c r="E33" s="62">
        <f>SUM('BeeOS-ChiTiết HĐ (Chỉnh sửa NL)'!I2)</f>
        <v>0</v>
      </c>
      <c r="F33" s="62">
        <f>SUM('BeeOS-ChiTiết HĐ (Chỉnh sửa NL)'!J2)</f>
        <v>0</v>
      </c>
      <c r="G33" s="8"/>
    </row>
    <row r="34" spans="1:7" ht="15.5" x14ac:dyDescent="0.35">
      <c r="A34" s="8">
        <v>29</v>
      </c>
      <c r="B34" s="60" t="s">
        <v>36</v>
      </c>
      <c r="C34" s="61">
        <f>SUM('BeeOS-ChiTiết HĐ (Đã Duyệt NL)'!G2)</f>
        <v>15</v>
      </c>
      <c r="D34" s="62">
        <f>SUM('BeeOS-ChiTiết HĐ (Đã Duyệt NL)'!H2)</f>
        <v>15</v>
      </c>
      <c r="E34" s="62">
        <f>SUM('BeeOS-ChiTiết HĐ (Đã Duyệt NL)'!I2)</f>
        <v>0</v>
      </c>
      <c r="F34" s="62">
        <f>SUM('BeeOS-ChiTiết HĐ (Đã Duyệt NL)'!J2)</f>
        <v>0</v>
      </c>
      <c r="G34" s="8"/>
    </row>
    <row r="35" spans="1:7" ht="15.5" x14ac:dyDescent="0.35">
      <c r="A35" s="8">
        <v>30</v>
      </c>
      <c r="B35" s="60" t="s">
        <v>37</v>
      </c>
      <c r="C35" s="61">
        <f>SUM('BeeOS-ChiTiết HĐ (TBH Đã Duyệt)'!G2)</f>
        <v>15</v>
      </c>
      <c r="D35" s="62">
        <f>SUM('BeeOS-ChiTiết HĐ (TBH Đã Duyệt)'!H2)</f>
        <v>15</v>
      </c>
      <c r="E35" s="62">
        <f>SUM('BeeOS-ChiTiết HĐ (TBH Đã Duyệt)'!I2)</f>
        <v>0</v>
      </c>
      <c r="F35" s="62">
        <f>SUM('BeeOS-ChiTiết HĐ (TBH Đã Duyệt)'!J2)</f>
        <v>0</v>
      </c>
      <c r="G35" s="8"/>
    </row>
    <row r="36" spans="1:7" ht="15.5" x14ac:dyDescent="0.35">
      <c r="A36" s="8">
        <v>31</v>
      </c>
      <c r="B36" s="60" t="s">
        <v>38</v>
      </c>
      <c r="C36" s="61">
        <f>SUM('BeeOS-ChiTiết HĐ (Đã lưu BCHĐ)'!G2)</f>
        <v>18</v>
      </c>
      <c r="D36" s="62">
        <f>SUM('BeeOS-ChiTiết HĐ (Đã lưu BCHĐ)'!H2)</f>
        <v>18</v>
      </c>
      <c r="E36" s="62">
        <f>SUM('BeeOS-ChiTiết HĐ (Đã lưu BCHĐ)'!I2)</f>
        <v>0</v>
      </c>
      <c r="F36" s="62">
        <f>SUM('BeeOS-ChiTiết HĐ (Đã lưu BCHĐ)'!J2)</f>
        <v>0</v>
      </c>
      <c r="G36" s="8"/>
    </row>
    <row r="37" spans="1:7" ht="15.5" x14ac:dyDescent="0.35">
      <c r="A37" s="8">
        <v>32</v>
      </c>
      <c r="B37" s="60" t="s">
        <v>39</v>
      </c>
      <c r="C37" s="61">
        <f>SUM('BeeOS-ChiTiết HĐ (Phụ Lục)'!G2)</f>
        <v>18</v>
      </c>
      <c r="D37" s="62">
        <f>SUM('BeeOS-ChiTiết HĐ (Phụ Lục)'!H2)</f>
        <v>18</v>
      </c>
      <c r="E37" s="62">
        <f>SUM('BeeOS-ChiTiết HĐ (Phụ Lục)'!I2)</f>
        <v>0</v>
      </c>
      <c r="F37" s="62">
        <f>SUM('BeeOS-ChiTiết HĐ (Phụ Lục)'!J2)</f>
        <v>0</v>
      </c>
      <c r="G37" s="8"/>
    </row>
    <row r="38" spans="1:7" ht="15.5" x14ac:dyDescent="0.35">
      <c r="A38" s="8">
        <v>33</v>
      </c>
      <c r="B38" s="60" t="s">
        <v>40</v>
      </c>
      <c r="C38" s="61">
        <f>SUM('BeeOS - Leader list phê duyệt'!G2)</f>
        <v>15</v>
      </c>
      <c r="D38" s="62">
        <f>SUM('BeeOS - Leader list phê duyệt'!H2)</f>
        <v>15</v>
      </c>
      <c r="E38" s="62">
        <f>SUM('BeeOS - Leader list phê duyệt'!I2)</f>
        <v>0</v>
      </c>
      <c r="F38" s="62">
        <f>SUM('BeeOS - Leader list phê duyệt'!J2)</f>
        <v>0</v>
      </c>
      <c r="G38" s="8"/>
    </row>
    <row r="39" spans="1:7" ht="15.5" x14ac:dyDescent="0.35">
      <c r="A39" s="8">
        <v>34</v>
      </c>
      <c r="B39" s="60" t="s">
        <v>41</v>
      </c>
      <c r="C39" s="61">
        <f>SUM('BeeOS - Phê Duyệt CT (B1)'!G2)</f>
        <v>20</v>
      </c>
      <c r="D39" s="62">
        <f>SUM('BeeOS - Phê Duyệt CT (B1)'!H2)</f>
        <v>20</v>
      </c>
      <c r="E39" s="62">
        <f>SUM('BeeOS - Phê Duyệt CT (B1)'!I2)</f>
        <v>0</v>
      </c>
      <c r="F39" s="62">
        <f>SUM('BeeOS - Phê Duyệt CT (B1)'!J2)</f>
        <v>0</v>
      </c>
      <c r="G39" s="8"/>
    </row>
    <row r="40" spans="1:7" ht="15.5" x14ac:dyDescent="0.35">
      <c r="A40" s="8">
        <v>35</v>
      </c>
      <c r="B40" s="60" t="s">
        <v>42</v>
      </c>
      <c r="C40" s="61">
        <f>SUM('BeeOS - Phê Duyệt NL (B2)'!F2)</f>
        <v>23</v>
      </c>
      <c r="D40" s="62">
        <f>SUM('BeeOS - Phê Duyệt NL (B2)'!G2)</f>
        <v>23</v>
      </c>
      <c r="E40" s="62">
        <f>SUM('BeeOS - Phê Duyệt NL (B2)'!H2)</f>
        <v>0</v>
      </c>
      <c r="F40" s="62">
        <f>SUM('BeeOS - Phê Duyệt NL (B2)'!I2)</f>
        <v>0</v>
      </c>
      <c r="G40" s="8"/>
    </row>
    <row r="41" spans="1:7" ht="15.5" x14ac:dyDescent="0.35">
      <c r="A41" s="8">
        <v>36</v>
      </c>
      <c r="B41" s="60" t="s">
        <v>43</v>
      </c>
      <c r="C41" s="61">
        <f>SUM('BeeOS - Phê Duyệt Phụ Lục'!F2)</f>
        <v>15</v>
      </c>
      <c r="D41" s="62">
        <f>SUM('BeeOS - Phê Duyệt Phụ Lục'!G2)</f>
        <v>15</v>
      </c>
      <c r="E41" s="62">
        <f>SUM('BeeOS - Phê Duyệt Phụ Lục'!H2)</f>
        <v>0</v>
      </c>
      <c r="F41" s="62">
        <f>SUM('BeeOS - Phê Duyệt Phụ Lục'!I2)</f>
        <v>0</v>
      </c>
      <c r="G41" s="8"/>
    </row>
    <row r="42" spans="1:7" ht="15.5" x14ac:dyDescent="0.35">
      <c r="A42" s="8">
        <v>37</v>
      </c>
      <c r="B42" s="60" t="s">
        <v>44</v>
      </c>
      <c r="C42" s="62">
        <f>SUM('BeeOS - Leader Trang Đã duyệt'!F2)</f>
        <v>15</v>
      </c>
      <c r="D42" s="62">
        <f>SUM('BeeOS - Leader Trang Đã duyệt'!G2)</f>
        <v>15</v>
      </c>
      <c r="E42" s="62">
        <f>SUM('BeeOS - Leader Trang Đã duyệt'!H2)</f>
        <v>0</v>
      </c>
      <c r="F42" s="62">
        <f>SUM('BeeOS - Leader Trang Đã duyệt'!I2)</f>
        <v>0</v>
      </c>
      <c r="G42" s="8"/>
    </row>
    <row r="43" spans="1:7" ht="15.5" x14ac:dyDescent="0.35">
      <c r="A43" s="8">
        <v>38</v>
      </c>
      <c r="B43" s="60" t="s">
        <v>45</v>
      </c>
      <c r="C43" s="61">
        <f>('BeeOS - Email và Tin nhắn Zalo'!F2)</f>
        <v>27</v>
      </c>
      <c r="D43" s="62">
        <f>('BeeOS - Email và Tin nhắn Zalo'!G2)</f>
        <v>27</v>
      </c>
      <c r="E43" s="62">
        <f>('BeeOS - Email và Tin nhắn Zalo'!H2)</f>
        <v>0</v>
      </c>
      <c r="F43" s="62">
        <f>('BeeOS - Email và Tin nhắn Zalo'!I2)</f>
        <v>0</v>
      </c>
      <c r="G43" s="8"/>
    </row>
    <row r="44" spans="1:7" ht="15.5" x14ac:dyDescent="0.35">
      <c r="A44" s="8">
        <v>39</v>
      </c>
      <c r="B44" s="60" t="s">
        <v>46</v>
      </c>
      <c r="C44" s="61">
        <f>SUM('BeeOS - Tạo Bồi Thường'!F2)</f>
        <v>14</v>
      </c>
      <c r="D44" s="62">
        <f>SUM('BeeOS - Tạo Bồi Thường'!G2)</f>
        <v>14</v>
      </c>
      <c r="E44" s="62">
        <f>SUM('BeeOS - Tạo Bồi Thường'!H2)</f>
        <v>0</v>
      </c>
      <c r="F44" s="62">
        <f>SUM('BeeOS - Tạo Bồi Thường'!I2)</f>
        <v>0</v>
      </c>
      <c r="G44" s="8"/>
    </row>
    <row r="45" spans="1:7" ht="15.5" x14ac:dyDescent="0.35">
      <c r="A45" s="8">
        <v>40</v>
      </c>
      <c r="B45" s="60" t="s">
        <v>47</v>
      </c>
      <c r="C45" s="61">
        <f>SUM('BeeOS - Dashboard Bồi Thường'!F2)</f>
        <v>13</v>
      </c>
      <c r="D45" s="62">
        <f>SUM('BeeOS - Dashboard Bồi Thường'!G2)</f>
        <v>13</v>
      </c>
      <c r="E45" s="62">
        <f>SUM('BeeOS - Dashboard Bồi Thường'!H2)</f>
        <v>0</v>
      </c>
      <c r="F45" s="62">
        <f>SUM('BeeOS - Dashboard Bồi Thường'!I2)</f>
        <v>0</v>
      </c>
      <c r="G45" s="8"/>
    </row>
    <row r="46" spans="1:7" ht="15.5" x14ac:dyDescent="0.35">
      <c r="A46" s="8">
        <v>41</v>
      </c>
      <c r="B46" s="60" t="s">
        <v>48</v>
      </c>
      <c r="C46" s="61">
        <f>SUM('BeeOS - Danh sách Bồi Thường'!F2)</f>
        <v>17</v>
      </c>
      <c r="D46" s="62">
        <f>SUM('BeeOS - Danh sách Bồi Thường'!G2)</f>
        <v>17</v>
      </c>
      <c r="E46" s="62">
        <f>SUM('BeeOS - Danh sách Bồi Thường'!H2)</f>
        <v>0</v>
      </c>
      <c r="F46" s="62">
        <f>SUM('BeeOS - Danh sách Bồi Thường'!I2)</f>
        <v>0</v>
      </c>
      <c r="G46" s="8"/>
    </row>
    <row r="47" spans="1:7" ht="15.5" x14ac:dyDescent="0.35">
      <c r="A47" s="8">
        <v>42</v>
      </c>
      <c r="B47" s="60" t="s">
        <v>49</v>
      </c>
      <c r="C47" s="61">
        <f>SUM('BeeOS - Chi Tiết Bồi Thường'!F2)</f>
        <v>20</v>
      </c>
      <c r="D47" s="62">
        <f>SUM('BeeOS - Chi Tiết Bồi Thường'!G2)</f>
        <v>20</v>
      </c>
      <c r="E47" s="62">
        <f>SUM('BeeOS - Chi Tiết Bồi Thường'!H2)</f>
        <v>0</v>
      </c>
      <c r="F47" s="62">
        <f>SUM('BeeOS - Chi Tiết Bồi Thường'!I2)</f>
        <v>0</v>
      </c>
      <c r="G47" s="8"/>
    </row>
    <row r="48" spans="1:7" ht="18" x14ac:dyDescent="0.35">
      <c r="A48" s="65" t="s">
        <v>50</v>
      </c>
      <c r="B48" s="66"/>
      <c r="C48" s="7">
        <f>SUM(C6:C47)</f>
        <v>731</v>
      </c>
      <c r="D48" s="59">
        <f>SUM(D6:D47)</f>
        <v>731</v>
      </c>
      <c r="E48" s="59">
        <f>SUM(E6:E47)</f>
        <v>0</v>
      </c>
      <c r="F48" s="59">
        <f>SUM(F6:F47)</f>
        <v>0</v>
      </c>
      <c r="G48" s="8"/>
    </row>
  </sheetData>
  <mergeCells count="3">
    <mergeCell ref="A1:B4"/>
    <mergeCell ref="A48:B48"/>
    <mergeCell ref="C1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98D1-78CB-4F73-98BB-F931109BC0E4}">
  <dimension ref="A1:J32"/>
  <sheetViews>
    <sheetView topLeftCell="C1" workbookViewId="0">
      <selection activeCell="I5" sqref="I5:I6"/>
    </sheetView>
  </sheetViews>
  <sheetFormatPr defaultRowHeight="14.5" x14ac:dyDescent="0.35"/>
  <cols>
    <col min="1" max="1" width="39.26953125" customWidth="1"/>
    <col min="2" max="6" width="26.7265625" customWidth="1"/>
    <col min="7" max="7" width="31.1796875" customWidth="1"/>
    <col min="8" max="8" width="44.81640625" customWidth="1"/>
    <col min="9" max="10" width="26.7265625" customWidth="1"/>
  </cols>
  <sheetData>
    <row r="1" spans="1:10" ht="15.5" x14ac:dyDescent="0.35">
      <c r="A1" s="76"/>
      <c r="B1" s="77" t="s">
        <v>2</v>
      </c>
      <c r="C1" s="78"/>
      <c r="D1" s="79" t="s">
        <v>51</v>
      </c>
      <c r="E1" s="80"/>
      <c r="F1" s="81"/>
      <c r="G1" s="9" t="s">
        <v>52</v>
      </c>
      <c r="H1" s="10" t="s">
        <v>4</v>
      </c>
      <c r="I1" s="11" t="s">
        <v>5</v>
      </c>
      <c r="J1" s="12" t="s">
        <v>6</v>
      </c>
    </row>
    <row r="2" spans="1:10" ht="18" x14ac:dyDescent="0.35">
      <c r="A2" s="76"/>
      <c r="B2" s="77" t="s">
        <v>53</v>
      </c>
      <c r="C2" s="78"/>
      <c r="D2" s="79" t="s">
        <v>54</v>
      </c>
      <c r="E2" s="80"/>
      <c r="F2" s="82"/>
      <c r="G2" s="13">
        <f>COUNTIF(A6:A68,"TC-??")</f>
        <v>17</v>
      </c>
      <c r="H2" s="14">
        <f>COUNTIF(I4:I925,"Đạt")</f>
        <v>17</v>
      </c>
      <c r="I2" s="14">
        <f>COUNTIF(I4:I925,"Không Đạt")</f>
        <v>0</v>
      </c>
      <c r="J2" s="14">
        <f>COUNTIF(G4:G925,"Chưa Xong")</f>
        <v>0</v>
      </c>
    </row>
    <row r="3" spans="1:10" ht="18" x14ac:dyDescent="0.35">
      <c r="A3" s="76"/>
      <c r="B3" s="77" t="s">
        <v>55</v>
      </c>
      <c r="C3" s="78"/>
      <c r="D3" s="84">
        <v>45980</v>
      </c>
      <c r="E3" s="80"/>
      <c r="F3" s="83"/>
      <c r="G3" s="15">
        <f>SUM(H3+I3+J3)</f>
        <v>1</v>
      </c>
      <c r="H3" s="16">
        <f>H2/G2</f>
        <v>1</v>
      </c>
      <c r="I3" s="16">
        <f>I2/G2</f>
        <v>0</v>
      </c>
      <c r="J3" s="15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66</v>
      </c>
      <c r="C6" s="17" t="s">
        <v>8</v>
      </c>
      <c r="D6" s="17" t="s">
        <v>67</v>
      </c>
      <c r="E6" s="17" t="s">
        <v>68</v>
      </c>
      <c r="F6" s="17" t="s">
        <v>69</v>
      </c>
      <c r="G6" s="17" t="s">
        <v>70</v>
      </c>
      <c r="H6" s="17" t="s">
        <v>71</v>
      </c>
      <c r="I6" s="31" t="s">
        <v>4</v>
      </c>
    </row>
    <row r="7" spans="1:10" ht="43.5" x14ac:dyDescent="0.35">
      <c r="A7" s="17" t="s">
        <v>72</v>
      </c>
      <c r="B7" s="17" t="s">
        <v>73</v>
      </c>
      <c r="C7" s="17" t="s">
        <v>8</v>
      </c>
      <c r="D7" s="17" t="s">
        <v>67</v>
      </c>
      <c r="E7" s="17" t="s">
        <v>68</v>
      </c>
      <c r="F7" s="17" t="s">
        <v>74</v>
      </c>
      <c r="G7" s="17" t="s">
        <v>75</v>
      </c>
      <c r="H7" s="17" t="s">
        <v>76</v>
      </c>
      <c r="I7" s="31" t="s">
        <v>4</v>
      </c>
    </row>
    <row r="8" spans="1:10" ht="43.5" x14ac:dyDescent="0.35">
      <c r="A8" s="17" t="s">
        <v>77</v>
      </c>
      <c r="B8" s="17" t="s">
        <v>78</v>
      </c>
      <c r="C8" s="17" t="s">
        <v>8</v>
      </c>
      <c r="D8" s="17" t="s">
        <v>67</v>
      </c>
      <c r="E8" s="17" t="s">
        <v>79</v>
      </c>
      <c r="F8" s="17" t="s">
        <v>80</v>
      </c>
      <c r="G8" s="17" t="s">
        <v>81</v>
      </c>
      <c r="H8" s="17" t="s">
        <v>82</v>
      </c>
      <c r="I8" s="31" t="s">
        <v>4</v>
      </c>
    </row>
    <row r="9" spans="1:10" ht="29" x14ac:dyDescent="0.35">
      <c r="A9" s="17" t="s">
        <v>83</v>
      </c>
      <c r="B9" s="17" t="s">
        <v>84</v>
      </c>
      <c r="C9" s="17" t="s">
        <v>8</v>
      </c>
      <c r="D9" s="17" t="s">
        <v>67</v>
      </c>
      <c r="E9" s="17" t="s">
        <v>79</v>
      </c>
      <c r="F9" s="17" t="s">
        <v>85</v>
      </c>
      <c r="G9" s="17" t="s">
        <v>86</v>
      </c>
      <c r="H9" s="17" t="s">
        <v>87</v>
      </c>
      <c r="I9" s="31" t="s">
        <v>4</v>
      </c>
    </row>
    <row r="10" spans="1:10" ht="43.5" x14ac:dyDescent="0.35">
      <c r="A10" s="17" t="s">
        <v>88</v>
      </c>
      <c r="B10" s="17" t="s">
        <v>89</v>
      </c>
      <c r="C10" s="17" t="s">
        <v>8</v>
      </c>
      <c r="D10" s="17" t="s">
        <v>67</v>
      </c>
      <c r="E10" s="17" t="s">
        <v>79</v>
      </c>
      <c r="F10" s="17" t="s">
        <v>90</v>
      </c>
      <c r="G10" s="17" t="s">
        <v>91</v>
      </c>
      <c r="H10" s="17" t="s">
        <v>92</v>
      </c>
      <c r="I10" s="31" t="s">
        <v>4</v>
      </c>
    </row>
    <row r="11" spans="1:10" ht="43.5" x14ac:dyDescent="0.35">
      <c r="A11" s="17" t="s">
        <v>93</v>
      </c>
      <c r="B11" s="17" t="s">
        <v>94</v>
      </c>
      <c r="C11" s="17" t="s">
        <v>8</v>
      </c>
      <c r="D11" s="17" t="s">
        <v>67</v>
      </c>
      <c r="E11" s="17" t="s">
        <v>79</v>
      </c>
      <c r="F11" s="17" t="s">
        <v>95</v>
      </c>
      <c r="G11" s="17" t="s">
        <v>96</v>
      </c>
      <c r="H11" s="17" t="s">
        <v>97</v>
      </c>
      <c r="I11" s="31" t="s">
        <v>4</v>
      </c>
    </row>
    <row r="12" spans="1:10" ht="43.5" x14ac:dyDescent="0.35">
      <c r="A12" s="17" t="s">
        <v>98</v>
      </c>
      <c r="B12" s="17" t="s">
        <v>99</v>
      </c>
      <c r="C12" s="17" t="s">
        <v>8</v>
      </c>
      <c r="D12" s="17" t="s">
        <v>100</v>
      </c>
      <c r="E12" s="17" t="s">
        <v>101</v>
      </c>
      <c r="F12" s="17" t="s">
        <v>102</v>
      </c>
      <c r="G12" s="17" t="s">
        <v>103</v>
      </c>
      <c r="H12" s="17" t="s">
        <v>104</v>
      </c>
      <c r="I12" s="31" t="s">
        <v>4</v>
      </c>
    </row>
    <row r="13" spans="1:10" ht="43.5" x14ac:dyDescent="0.35">
      <c r="A13" s="17" t="s">
        <v>105</v>
      </c>
      <c r="B13" s="17" t="s">
        <v>106</v>
      </c>
      <c r="C13" s="17" t="s">
        <v>107</v>
      </c>
      <c r="D13" s="17" t="s">
        <v>108</v>
      </c>
      <c r="E13" s="17" t="s">
        <v>109</v>
      </c>
      <c r="F13" s="17" t="s">
        <v>110</v>
      </c>
      <c r="G13" s="17" t="s">
        <v>111</v>
      </c>
      <c r="H13" s="17" t="s">
        <v>112</v>
      </c>
      <c r="I13" s="31" t="s">
        <v>4</v>
      </c>
    </row>
    <row r="14" spans="1:10" ht="43.5" x14ac:dyDescent="0.35">
      <c r="A14" s="17" t="s">
        <v>113</v>
      </c>
      <c r="B14" s="17" t="s">
        <v>114</v>
      </c>
      <c r="C14" s="17" t="s">
        <v>8</v>
      </c>
      <c r="D14" s="17" t="s">
        <v>67</v>
      </c>
      <c r="E14" s="17" t="s">
        <v>115</v>
      </c>
      <c r="F14" s="17" t="s">
        <v>116</v>
      </c>
      <c r="G14" s="17" t="s">
        <v>117</v>
      </c>
      <c r="H14" s="17" t="s">
        <v>118</v>
      </c>
      <c r="I14" s="31" t="s">
        <v>4</v>
      </c>
    </row>
    <row r="15" spans="1:10" ht="43.5" x14ac:dyDescent="0.35">
      <c r="A15" s="17" t="s">
        <v>119</v>
      </c>
      <c r="B15" s="17" t="s">
        <v>120</v>
      </c>
      <c r="C15" s="17" t="s">
        <v>8</v>
      </c>
      <c r="D15" s="17" t="s">
        <v>67</v>
      </c>
      <c r="E15" s="17" t="s">
        <v>121</v>
      </c>
      <c r="F15" s="17" t="s">
        <v>122</v>
      </c>
      <c r="G15" s="17" t="s">
        <v>123</v>
      </c>
      <c r="H15" s="17" t="s">
        <v>124</v>
      </c>
      <c r="I15" s="31" t="s">
        <v>4</v>
      </c>
    </row>
    <row r="16" spans="1:10" ht="43.5" x14ac:dyDescent="0.35">
      <c r="A16" s="17" t="s">
        <v>125</v>
      </c>
      <c r="B16" s="17" t="s">
        <v>126</v>
      </c>
      <c r="C16" s="17" t="s">
        <v>8</v>
      </c>
      <c r="D16" s="17" t="s">
        <v>127</v>
      </c>
      <c r="E16" s="17" t="s">
        <v>128</v>
      </c>
      <c r="F16" s="17" t="s">
        <v>129</v>
      </c>
      <c r="G16" s="17" t="s">
        <v>130</v>
      </c>
      <c r="H16" s="17" t="s">
        <v>131</v>
      </c>
      <c r="I16" s="31" t="s">
        <v>4</v>
      </c>
    </row>
    <row r="17" spans="1:9" ht="43.5" x14ac:dyDescent="0.35">
      <c r="A17" s="17" t="s">
        <v>132</v>
      </c>
      <c r="B17" s="17" t="s">
        <v>133</v>
      </c>
      <c r="C17" s="17" t="s">
        <v>8</v>
      </c>
      <c r="D17" s="17" t="s">
        <v>127</v>
      </c>
      <c r="E17" s="17" t="s">
        <v>134</v>
      </c>
      <c r="F17" s="17" t="s">
        <v>135</v>
      </c>
      <c r="G17" s="17" t="s">
        <v>136</v>
      </c>
      <c r="H17" s="17" t="s">
        <v>137</v>
      </c>
      <c r="I17" s="31" t="s">
        <v>4</v>
      </c>
    </row>
    <row r="18" spans="1:9" ht="43.5" x14ac:dyDescent="0.35">
      <c r="A18" s="17" t="s">
        <v>138</v>
      </c>
      <c r="B18" s="17" t="s">
        <v>139</v>
      </c>
      <c r="C18" s="17" t="s">
        <v>8</v>
      </c>
      <c r="D18" s="17" t="s">
        <v>67</v>
      </c>
      <c r="E18" s="17" t="s">
        <v>140</v>
      </c>
      <c r="F18" s="17" t="s">
        <v>141</v>
      </c>
      <c r="G18" s="17" t="s">
        <v>142</v>
      </c>
      <c r="H18" s="17" t="s">
        <v>143</v>
      </c>
      <c r="I18" s="31" t="s">
        <v>4</v>
      </c>
    </row>
    <row r="19" spans="1:9" ht="43.5" x14ac:dyDescent="0.35">
      <c r="A19" s="17" t="s">
        <v>144</v>
      </c>
      <c r="B19" s="17" t="s">
        <v>145</v>
      </c>
      <c r="C19" s="17" t="s">
        <v>107</v>
      </c>
      <c r="D19" s="17" t="s">
        <v>108</v>
      </c>
      <c r="E19" s="17" t="s">
        <v>146</v>
      </c>
      <c r="F19" s="17" t="s">
        <v>147</v>
      </c>
      <c r="G19" s="17" t="s">
        <v>148</v>
      </c>
      <c r="H19" s="17" t="s">
        <v>149</v>
      </c>
      <c r="I19" s="31" t="s">
        <v>4</v>
      </c>
    </row>
    <row r="20" spans="1:9" ht="43.5" x14ac:dyDescent="0.35">
      <c r="A20" s="17" t="s">
        <v>150</v>
      </c>
      <c r="B20" s="17" t="s">
        <v>151</v>
      </c>
      <c r="C20" s="17" t="s">
        <v>107</v>
      </c>
      <c r="D20" s="17" t="s">
        <v>152</v>
      </c>
      <c r="E20" s="17" t="s">
        <v>153</v>
      </c>
      <c r="F20" s="17" t="s">
        <v>154</v>
      </c>
      <c r="G20" s="17" t="s">
        <v>155</v>
      </c>
      <c r="H20" s="17" t="s">
        <v>156</v>
      </c>
      <c r="I20" s="31" t="s">
        <v>4</v>
      </c>
    </row>
    <row r="21" spans="1:9" ht="43.5" x14ac:dyDescent="0.35">
      <c r="A21" s="17" t="s">
        <v>157</v>
      </c>
      <c r="B21" s="17" t="s">
        <v>158</v>
      </c>
      <c r="C21" s="17" t="s">
        <v>107</v>
      </c>
      <c r="D21" s="17" t="s">
        <v>152</v>
      </c>
      <c r="E21" s="17" t="s">
        <v>159</v>
      </c>
      <c r="F21" s="17" t="s">
        <v>160</v>
      </c>
      <c r="G21" s="17" t="s">
        <v>161</v>
      </c>
      <c r="H21" s="17" t="s">
        <v>162</v>
      </c>
      <c r="I21" s="31" t="s">
        <v>4</v>
      </c>
    </row>
    <row r="22" spans="1:9" ht="43.5" x14ac:dyDescent="0.35">
      <c r="A22" s="17" t="s">
        <v>163</v>
      </c>
      <c r="B22" s="17" t="s">
        <v>164</v>
      </c>
      <c r="C22" s="17" t="s">
        <v>127</v>
      </c>
      <c r="D22" s="17" t="s">
        <v>165</v>
      </c>
      <c r="E22" s="17" t="s">
        <v>166</v>
      </c>
      <c r="F22" s="17" t="s">
        <v>167</v>
      </c>
      <c r="G22" s="17" t="s">
        <v>168</v>
      </c>
      <c r="H22" s="17" t="s">
        <v>169</v>
      </c>
      <c r="I22" s="31" t="s">
        <v>4</v>
      </c>
    </row>
    <row r="23" spans="1:9" x14ac:dyDescent="0.35">
      <c r="A23" s="17"/>
      <c r="B23" s="17"/>
      <c r="C23" s="17"/>
      <c r="D23" s="17"/>
      <c r="E23" s="17"/>
      <c r="F23" s="17"/>
      <c r="G23" s="17"/>
      <c r="H23" s="17"/>
    </row>
    <row r="24" spans="1:9" x14ac:dyDescent="0.35">
      <c r="A24" s="17"/>
      <c r="B24" s="17"/>
      <c r="C24" s="17"/>
      <c r="D24" s="17"/>
      <c r="E24" s="17"/>
      <c r="F24" s="17"/>
      <c r="G24" s="17"/>
      <c r="H24" s="17"/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  <row r="26" spans="1:9" x14ac:dyDescent="0.35">
      <c r="A26" s="17"/>
      <c r="B26" s="17"/>
      <c r="C26" s="17"/>
      <c r="D26" s="17"/>
      <c r="E26" s="17"/>
      <c r="F26" s="17"/>
      <c r="G26" s="17"/>
      <c r="H26" s="17"/>
    </row>
    <row r="27" spans="1:9" x14ac:dyDescent="0.35">
      <c r="A27" s="17"/>
      <c r="B27" s="17"/>
      <c r="C27" s="17"/>
      <c r="D27" s="17"/>
      <c r="E27" s="17"/>
      <c r="F27" s="17"/>
      <c r="G27" s="17"/>
      <c r="H27" s="17"/>
    </row>
    <row r="28" spans="1:9" x14ac:dyDescent="0.35">
      <c r="A28" s="17"/>
      <c r="B28" s="17"/>
      <c r="C28" s="17"/>
      <c r="D28" s="17"/>
      <c r="E28" s="17"/>
      <c r="F28" s="17"/>
      <c r="G28" s="17"/>
      <c r="H28" s="17"/>
    </row>
    <row r="29" spans="1:9" x14ac:dyDescent="0.35">
      <c r="A29" s="17"/>
      <c r="B29" s="17"/>
      <c r="C29" s="17"/>
      <c r="D29" s="17"/>
      <c r="E29" s="17"/>
      <c r="F29" s="17"/>
      <c r="G29" s="17"/>
      <c r="H29" s="17"/>
    </row>
    <row r="30" spans="1:9" x14ac:dyDescent="0.35">
      <c r="A30" s="17"/>
      <c r="B30" s="17"/>
      <c r="C30" s="17"/>
      <c r="D30" s="17"/>
      <c r="E30" s="17"/>
      <c r="F30" s="17"/>
      <c r="G30" s="17"/>
      <c r="H30" s="17"/>
    </row>
    <row r="31" spans="1:9" x14ac:dyDescent="0.35">
      <c r="A31" s="17"/>
      <c r="B31" s="17"/>
      <c r="C31" s="17"/>
      <c r="D31" s="17"/>
      <c r="E31" s="17"/>
      <c r="F31" s="17"/>
      <c r="G31" s="17"/>
      <c r="H31" s="17"/>
    </row>
    <row r="32" spans="1:9" x14ac:dyDescent="0.35">
      <c r="A32" s="17"/>
      <c r="B32" s="17"/>
      <c r="C32" s="17"/>
      <c r="D32" s="17"/>
      <c r="E32" s="17"/>
      <c r="F32" s="17"/>
      <c r="G32" s="17"/>
      <c r="H32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343" priority="31" operator="containsText" text="Passed">
      <formula>NOT(ISERROR(SEARCH(("Passed"),(G1))))</formula>
    </cfRule>
    <cfRule type="containsText" dxfId="342" priority="32" operator="containsText" text="Failed">
      <formula>NOT(ISERROR(SEARCH(("Failed"),(G1))))</formula>
    </cfRule>
    <cfRule type="containsText" dxfId="341" priority="33" operator="containsText" text="Incomplete">
      <formula>NOT(ISERROR(SEARCH(("Incomplete"),(G1))))</formula>
    </cfRule>
  </conditionalFormatting>
  <conditionalFormatting sqref="I6:I22">
    <cfRule type="containsText" dxfId="340" priority="26" operator="containsText" text="Passed">
      <formula>NOT(ISERROR(SEARCH(("Passed"),(I6))))</formula>
    </cfRule>
    <cfRule type="containsText" dxfId="339" priority="27" operator="containsText" text="Failed">
      <formula>NOT(ISERROR(SEARCH(("Failed"),(I6))))</formula>
    </cfRule>
    <cfRule type="containsText" dxfId="338" priority="28" operator="containsText" text="Bug ok">
      <formula>NOT(ISERROR(SEARCH(("Bug ok"),(I6))))</formula>
    </cfRule>
    <cfRule type="containsText" dxfId="337" priority="29" operator="containsText" text="Blocked">
      <formula>NOT(ISERROR(SEARCH(("Blocked"),(I6))))</formula>
    </cfRule>
    <cfRule type="containsText" dxfId="336" priority="30" operator="containsText" text="Cannot run">
      <formula>NOT(ISERROR(SEARCH(("Cannot run"),(J6))))</formula>
    </cfRule>
  </conditionalFormatting>
  <dataValidations count="1">
    <dataValidation type="list" allowBlank="1" showErrorMessage="1" sqref="I6:I22" xr:uid="{1DD7E3FE-239C-4F49-968D-B3470B4F0B8A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E14C-E838-40A5-9593-82DEE35E4F6F}">
  <dimension ref="A1:J10"/>
  <sheetViews>
    <sheetView topLeftCell="B1" workbookViewId="0">
      <selection activeCell="I5" sqref="I5:I6"/>
    </sheetView>
  </sheetViews>
  <sheetFormatPr defaultRowHeight="14.5" x14ac:dyDescent="0.35"/>
  <cols>
    <col min="1" max="1" width="39.81640625" customWidth="1"/>
    <col min="2" max="5" width="28.1796875" customWidth="1"/>
    <col min="6" max="6" width="35.26953125" customWidth="1"/>
    <col min="7" max="7" width="28.1796875" customWidth="1"/>
    <col min="8" max="8" width="42.453125" customWidth="1"/>
    <col min="9" max="10" width="28.1796875" customWidth="1"/>
  </cols>
  <sheetData>
    <row r="1" spans="1:10" ht="15.5" x14ac:dyDescent="0.35">
      <c r="A1" s="76"/>
      <c r="B1" s="85" t="s">
        <v>2</v>
      </c>
      <c r="C1" s="78"/>
      <c r="D1" s="86" t="s">
        <v>170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COUNTIF(A5:A44,"TC-??")</f>
        <v>5</v>
      </c>
      <c r="H2" s="14">
        <f>COUNTIF(I4:I901,"Đạt")</f>
        <v>5</v>
      </c>
      <c r="I2" s="6">
        <f>COUNTIF(I4:I901,"Không Đạt")</f>
        <v>0</v>
      </c>
      <c r="J2" s="6">
        <f>COUNTIF(G4:G901,"Chưa Xong")</f>
        <v>0</v>
      </c>
    </row>
    <row r="3" spans="1:10" ht="18" x14ac:dyDescent="0.35">
      <c r="A3" s="76"/>
      <c r="B3" s="85" t="s">
        <v>55</v>
      </c>
      <c r="C3" s="78"/>
      <c r="D3" s="88">
        <v>45986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171</v>
      </c>
      <c r="C6" s="29" t="s">
        <v>170</v>
      </c>
      <c r="D6" s="17" t="s">
        <v>172</v>
      </c>
      <c r="E6" s="17" t="s">
        <v>173</v>
      </c>
      <c r="F6" s="17" t="s">
        <v>174</v>
      </c>
      <c r="G6" s="17" t="s">
        <v>175</v>
      </c>
      <c r="H6" s="17" t="s">
        <v>176</v>
      </c>
      <c r="I6" s="31" t="s">
        <v>4</v>
      </c>
    </row>
    <row r="7" spans="1:10" ht="29" x14ac:dyDescent="0.35">
      <c r="A7" s="17" t="s">
        <v>72</v>
      </c>
      <c r="B7" s="17" t="s">
        <v>177</v>
      </c>
      <c r="C7" s="29" t="s">
        <v>170</v>
      </c>
      <c r="D7" s="17" t="s">
        <v>178</v>
      </c>
      <c r="E7" s="17" t="s">
        <v>179</v>
      </c>
      <c r="F7" s="17" t="s">
        <v>180</v>
      </c>
      <c r="G7" s="17" t="s">
        <v>181</v>
      </c>
      <c r="H7" s="17" t="s">
        <v>182</v>
      </c>
      <c r="I7" s="31" t="s">
        <v>4</v>
      </c>
    </row>
    <row r="8" spans="1:10" ht="43.5" x14ac:dyDescent="0.35">
      <c r="A8" s="17" t="s">
        <v>77</v>
      </c>
      <c r="B8" s="17" t="s">
        <v>183</v>
      </c>
      <c r="C8" s="29" t="s">
        <v>170</v>
      </c>
      <c r="D8" s="17" t="s">
        <v>184</v>
      </c>
      <c r="E8" s="17" t="s">
        <v>185</v>
      </c>
      <c r="F8" s="17" t="s">
        <v>186</v>
      </c>
      <c r="G8" s="17" t="s">
        <v>187</v>
      </c>
      <c r="H8" s="17" t="s">
        <v>188</v>
      </c>
      <c r="I8" s="31" t="s">
        <v>4</v>
      </c>
    </row>
    <row r="9" spans="1:10" ht="29" x14ac:dyDescent="0.35">
      <c r="A9" s="17" t="s">
        <v>83</v>
      </c>
      <c r="B9" s="17" t="s">
        <v>189</v>
      </c>
      <c r="C9" s="29" t="s">
        <v>170</v>
      </c>
      <c r="D9" s="17" t="s">
        <v>190</v>
      </c>
      <c r="E9" s="17" t="s">
        <v>191</v>
      </c>
      <c r="F9" s="17" t="s">
        <v>192</v>
      </c>
      <c r="G9" s="17" t="s">
        <v>193</v>
      </c>
      <c r="H9" s="17" t="s">
        <v>194</v>
      </c>
      <c r="I9" s="31" t="s">
        <v>4</v>
      </c>
    </row>
    <row r="10" spans="1:10" ht="43.5" x14ac:dyDescent="0.35">
      <c r="A10" s="17" t="s">
        <v>88</v>
      </c>
      <c r="B10" s="17" t="s">
        <v>195</v>
      </c>
      <c r="C10" s="29" t="s">
        <v>170</v>
      </c>
      <c r="D10" s="17" t="s">
        <v>196</v>
      </c>
      <c r="E10" s="17" t="s">
        <v>197</v>
      </c>
      <c r="F10" s="17" t="s">
        <v>198</v>
      </c>
      <c r="G10" s="17" t="s">
        <v>199</v>
      </c>
      <c r="H10" s="17" t="s">
        <v>200</v>
      </c>
      <c r="I10" s="3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335" priority="6" operator="containsText" text="Passed">
      <formula>NOT(ISERROR(SEARCH(("Passed"),(G1))))</formula>
    </cfRule>
    <cfRule type="containsText" dxfId="334" priority="7" operator="containsText" text="Failed">
      <formula>NOT(ISERROR(SEARCH(("Failed"),(G1))))</formula>
    </cfRule>
    <cfRule type="containsText" dxfId="333" priority="8" operator="containsText" text="Incomplete">
      <formula>NOT(ISERROR(SEARCH(("Incomplete"),(G1))))</formula>
    </cfRule>
  </conditionalFormatting>
  <conditionalFormatting sqref="I6:I10">
    <cfRule type="containsText" dxfId="332" priority="1" operator="containsText" text="Passed">
      <formula>NOT(ISERROR(SEARCH(("Passed"),(I6))))</formula>
    </cfRule>
    <cfRule type="containsText" dxfId="331" priority="2" operator="containsText" text="Failed">
      <formula>NOT(ISERROR(SEARCH(("Failed"),(I6))))</formula>
    </cfRule>
    <cfRule type="containsText" dxfId="330" priority="3" operator="containsText" text="Bug ok">
      <formula>NOT(ISERROR(SEARCH(("Bug ok"),(I6))))</formula>
    </cfRule>
    <cfRule type="containsText" dxfId="329" priority="4" operator="containsText" text="Blocked">
      <formula>NOT(ISERROR(SEARCH(("Blocked"),(I6))))</formula>
    </cfRule>
    <cfRule type="containsText" dxfId="328" priority="5" operator="containsText" text="Cannot run">
      <formula>NOT(ISERROR(SEARCH(("Cannot run"),(J6))))</formula>
    </cfRule>
  </conditionalFormatting>
  <dataValidations count="1">
    <dataValidation type="list" allowBlank="1" showErrorMessage="1" sqref="I6:I10" xr:uid="{A52D7471-98B6-492E-B901-8C4FA03D3E66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5408-EA05-43DC-A80F-583F81DD3F79}">
  <dimension ref="A1:J26"/>
  <sheetViews>
    <sheetView topLeftCell="C14" workbookViewId="0">
      <selection activeCell="G24" sqref="G24"/>
    </sheetView>
  </sheetViews>
  <sheetFormatPr defaultRowHeight="14.5" x14ac:dyDescent="0.35"/>
  <cols>
    <col min="1" max="1" width="39.1796875" customWidth="1"/>
    <col min="2" max="7" width="27.453125" customWidth="1"/>
    <col min="8" max="8" width="37.26953125" customWidth="1"/>
    <col min="9" max="10" width="27.453125" customWidth="1"/>
  </cols>
  <sheetData>
    <row r="1" spans="1:10" ht="15.5" x14ac:dyDescent="0.35">
      <c r="A1" s="76"/>
      <c r="B1" s="77" t="s">
        <v>2</v>
      </c>
      <c r="C1" s="78"/>
      <c r="D1" s="79" t="s">
        <v>201</v>
      </c>
      <c r="E1" s="80"/>
      <c r="F1" s="81"/>
      <c r="G1" s="9" t="s">
        <v>52</v>
      </c>
      <c r="H1" s="10" t="s">
        <v>4</v>
      </c>
      <c r="I1" s="11" t="s">
        <v>5</v>
      </c>
      <c r="J1" s="12" t="s">
        <v>6</v>
      </c>
    </row>
    <row r="2" spans="1:10" ht="18" x14ac:dyDescent="0.35">
      <c r="A2" s="76"/>
      <c r="B2" s="77" t="s">
        <v>53</v>
      </c>
      <c r="C2" s="78"/>
      <c r="D2" s="79" t="s">
        <v>54</v>
      </c>
      <c r="E2" s="80"/>
      <c r="F2" s="82"/>
      <c r="G2" s="13">
        <f>COUNTIF(A6:A76,"TC-??")</f>
        <v>21</v>
      </c>
      <c r="H2" s="14">
        <f>COUNTIF(I4:I933,"Đạt")</f>
        <v>21</v>
      </c>
      <c r="I2" s="14">
        <f>COUNTIF(G4:G933,"Không Đạt")</f>
        <v>0</v>
      </c>
      <c r="J2" s="14">
        <f>COUNTIF(G4:G933,"Chưa Xong")</f>
        <v>0</v>
      </c>
    </row>
    <row r="3" spans="1:10" ht="18" x14ac:dyDescent="0.35">
      <c r="A3" s="76"/>
      <c r="B3" s="77" t="s">
        <v>55</v>
      </c>
      <c r="C3" s="78"/>
      <c r="D3" s="84">
        <v>45981</v>
      </c>
      <c r="E3" s="80"/>
      <c r="F3" s="83"/>
      <c r="G3" s="15">
        <f>SUM(H3+I3+J3)</f>
        <v>1</v>
      </c>
      <c r="H3" s="16">
        <f>H2/G2</f>
        <v>1</v>
      </c>
      <c r="I3" s="16">
        <f>I2/G2</f>
        <v>0</v>
      </c>
      <c r="J3" s="15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203</v>
      </c>
      <c r="C6" s="17" t="s">
        <v>204</v>
      </c>
      <c r="D6" s="17" t="s">
        <v>205</v>
      </c>
      <c r="E6" s="17" t="s">
        <v>206</v>
      </c>
      <c r="F6" s="17" t="s">
        <v>207</v>
      </c>
      <c r="G6" s="17" t="s">
        <v>208</v>
      </c>
      <c r="H6" s="17" t="s">
        <v>209</v>
      </c>
      <c r="I6" s="31" t="s">
        <v>4</v>
      </c>
    </row>
    <row r="7" spans="1:10" ht="29" x14ac:dyDescent="0.35">
      <c r="A7" s="17" t="s">
        <v>72</v>
      </c>
      <c r="B7" s="17" t="s">
        <v>210</v>
      </c>
      <c r="C7" s="17" t="s">
        <v>204</v>
      </c>
      <c r="D7" s="17" t="s">
        <v>211</v>
      </c>
      <c r="E7" s="17" t="s">
        <v>212</v>
      </c>
      <c r="F7" s="17" t="s">
        <v>213</v>
      </c>
      <c r="G7" s="17" t="s">
        <v>214</v>
      </c>
      <c r="H7" s="17" t="s">
        <v>215</v>
      </c>
      <c r="I7" s="51" t="s">
        <v>4</v>
      </c>
    </row>
    <row r="8" spans="1:10" ht="29" x14ac:dyDescent="0.35">
      <c r="A8" s="17" t="s">
        <v>77</v>
      </c>
      <c r="B8" s="17" t="s">
        <v>216</v>
      </c>
      <c r="C8" s="17" t="s">
        <v>204</v>
      </c>
      <c r="D8" s="17" t="s">
        <v>217</v>
      </c>
      <c r="E8" s="17" t="s">
        <v>218</v>
      </c>
      <c r="F8" s="17" t="s">
        <v>219</v>
      </c>
      <c r="G8" s="17" t="s">
        <v>220</v>
      </c>
      <c r="H8" s="17" t="s">
        <v>221</v>
      </c>
      <c r="I8" s="51" t="s">
        <v>4</v>
      </c>
    </row>
    <row r="9" spans="1:10" ht="43.5" x14ac:dyDescent="0.35">
      <c r="A9" s="17" t="s">
        <v>83</v>
      </c>
      <c r="B9" s="17" t="s">
        <v>222</v>
      </c>
      <c r="C9" s="17" t="s">
        <v>223</v>
      </c>
      <c r="D9" s="17" t="s">
        <v>224</v>
      </c>
      <c r="E9" s="17" t="s">
        <v>225</v>
      </c>
      <c r="F9" t="s">
        <v>226</v>
      </c>
      <c r="G9" s="17" t="s">
        <v>227</v>
      </c>
      <c r="H9" s="17" t="s">
        <v>228</v>
      </c>
      <c r="I9" s="51" t="s">
        <v>4</v>
      </c>
    </row>
    <row r="10" spans="1:10" ht="43.5" x14ac:dyDescent="0.35">
      <c r="A10" s="17" t="s">
        <v>88</v>
      </c>
      <c r="B10" s="17" t="s">
        <v>229</v>
      </c>
      <c r="C10" s="17" t="s">
        <v>223</v>
      </c>
      <c r="D10" s="17" t="s">
        <v>224</v>
      </c>
      <c r="E10" s="17" t="s">
        <v>225</v>
      </c>
      <c r="F10" t="s">
        <v>230</v>
      </c>
      <c r="G10" s="17" t="s">
        <v>231</v>
      </c>
      <c r="H10" s="17" t="s">
        <v>232</v>
      </c>
      <c r="I10" s="51" t="s">
        <v>4</v>
      </c>
    </row>
    <row r="11" spans="1:10" ht="29" x14ac:dyDescent="0.35">
      <c r="A11" s="17" t="s">
        <v>233</v>
      </c>
      <c r="B11" s="17" t="s">
        <v>234</v>
      </c>
      <c r="C11" s="17" t="s">
        <v>204</v>
      </c>
      <c r="D11" s="17" t="s">
        <v>235</v>
      </c>
      <c r="E11" s="17" t="s">
        <v>236</v>
      </c>
      <c r="F11" s="17" t="s">
        <v>237</v>
      </c>
      <c r="G11" s="17" t="s">
        <v>238</v>
      </c>
      <c r="H11" s="17" t="s">
        <v>239</v>
      </c>
      <c r="I11" s="51" t="s">
        <v>4</v>
      </c>
    </row>
    <row r="12" spans="1:10" ht="29" x14ac:dyDescent="0.35">
      <c r="A12" s="17" t="s">
        <v>93</v>
      </c>
      <c r="B12" s="17" t="s">
        <v>240</v>
      </c>
      <c r="C12" s="17" t="s">
        <v>204</v>
      </c>
      <c r="D12" s="17" t="s">
        <v>241</v>
      </c>
      <c r="E12" s="17" t="s">
        <v>225</v>
      </c>
      <c r="F12" s="17" t="s">
        <v>242</v>
      </c>
      <c r="G12" s="17" t="s">
        <v>243</v>
      </c>
      <c r="H12" s="17" t="s">
        <v>244</v>
      </c>
      <c r="I12" s="51" t="s">
        <v>4</v>
      </c>
    </row>
    <row r="13" spans="1:10" ht="58" x14ac:dyDescent="0.35">
      <c r="A13" s="17" t="s">
        <v>98</v>
      </c>
      <c r="B13" s="17" t="s">
        <v>245</v>
      </c>
      <c r="C13" s="17" t="s">
        <v>204</v>
      </c>
      <c r="D13" s="17" t="s">
        <v>246</v>
      </c>
      <c r="E13" s="17" t="s">
        <v>247</v>
      </c>
      <c r="F13" s="17" t="s">
        <v>248</v>
      </c>
      <c r="G13" s="17" t="s">
        <v>249</v>
      </c>
      <c r="H13" s="17" t="s">
        <v>250</v>
      </c>
      <c r="I13" s="51" t="s">
        <v>4</v>
      </c>
    </row>
    <row r="14" spans="1:10" ht="29" x14ac:dyDescent="0.35">
      <c r="A14" s="17" t="s">
        <v>105</v>
      </c>
      <c r="B14" s="17" t="s">
        <v>251</v>
      </c>
      <c r="C14" s="17" t="s">
        <v>204</v>
      </c>
      <c r="D14" s="17" t="s">
        <v>252</v>
      </c>
      <c r="E14" s="17" t="s">
        <v>253</v>
      </c>
      <c r="F14" s="17" t="s">
        <v>254</v>
      </c>
      <c r="G14" s="17" t="s">
        <v>255</v>
      </c>
      <c r="H14" s="17" t="s">
        <v>256</v>
      </c>
      <c r="I14" s="51" t="s">
        <v>4</v>
      </c>
    </row>
    <row r="15" spans="1:10" ht="29" x14ac:dyDescent="0.35">
      <c r="A15" s="17" t="s">
        <v>113</v>
      </c>
      <c r="B15" s="17" t="s">
        <v>257</v>
      </c>
      <c r="C15" s="17" t="s">
        <v>204</v>
      </c>
      <c r="D15" s="17" t="s">
        <v>252</v>
      </c>
      <c r="E15" s="17" t="s">
        <v>253</v>
      </c>
      <c r="F15" s="17" t="s">
        <v>254</v>
      </c>
      <c r="G15" s="33" t="s">
        <v>258</v>
      </c>
      <c r="H15" s="17" t="s">
        <v>259</v>
      </c>
      <c r="I15" s="51" t="s">
        <v>4</v>
      </c>
    </row>
    <row r="16" spans="1:10" ht="29" x14ac:dyDescent="0.35">
      <c r="A16" s="17" t="s">
        <v>119</v>
      </c>
      <c r="B16" s="17" t="s">
        <v>260</v>
      </c>
      <c r="C16" s="17" t="s">
        <v>204</v>
      </c>
      <c r="D16" s="17" t="s">
        <v>261</v>
      </c>
      <c r="E16" s="17" t="s">
        <v>262</v>
      </c>
      <c r="F16" s="17" t="s">
        <v>263</v>
      </c>
      <c r="G16" s="17" t="s">
        <v>264</v>
      </c>
      <c r="H16" s="17" t="s">
        <v>265</v>
      </c>
      <c r="I16" s="51" t="s">
        <v>4</v>
      </c>
    </row>
    <row r="17" spans="1:9" ht="29" x14ac:dyDescent="0.35">
      <c r="A17" s="17" t="s">
        <v>125</v>
      </c>
      <c r="B17" s="17" t="s">
        <v>266</v>
      </c>
      <c r="C17" s="17" t="s">
        <v>204</v>
      </c>
      <c r="D17" s="17" t="s">
        <v>267</v>
      </c>
      <c r="E17" s="17" t="s">
        <v>262</v>
      </c>
      <c r="F17" s="17" t="s">
        <v>268</v>
      </c>
      <c r="G17" s="17" t="s">
        <v>269</v>
      </c>
      <c r="H17" s="17" t="s">
        <v>270</v>
      </c>
      <c r="I17" s="51" t="s">
        <v>4</v>
      </c>
    </row>
    <row r="18" spans="1:9" ht="29" x14ac:dyDescent="0.35">
      <c r="A18" s="17" t="s">
        <v>132</v>
      </c>
      <c r="B18" s="17" t="s">
        <v>271</v>
      </c>
      <c r="C18" s="17" t="s">
        <v>204</v>
      </c>
      <c r="D18" s="17" t="s">
        <v>272</v>
      </c>
      <c r="E18" s="17" t="s">
        <v>253</v>
      </c>
      <c r="F18" s="17" t="s">
        <v>273</v>
      </c>
      <c r="G18" s="17" t="s">
        <v>274</v>
      </c>
      <c r="H18" s="17" t="s">
        <v>275</v>
      </c>
      <c r="I18" s="51" t="s">
        <v>4</v>
      </c>
    </row>
    <row r="19" spans="1:9" ht="29" x14ac:dyDescent="0.35">
      <c r="A19" s="17" t="s">
        <v>138</v>
      </c>
      <c r="B19" s="17" t="s">
        <v>276</v>
      </c>
      <c r="C19" s="17" t="s">
        <v>204</v>
      </c>
      <c r="D19" s="17" t="s">
        <v>277</v>
      </c>
      <c r="E19" s="17" t="s">
        <v>278</v>
      </c>
      <c r="F19" s="17" t="s">
        <v>279</v>
      </c>
      <c r="G19" s="17" t="s">
        <v>280</v>
      </c>
      <c r="H19" s="17" t="s">
        <v>281</v>
      </c>
      <c r="I19" s="51" t="s">
        <v>4</v>
      </c>
    </row>
    <row r="20" spans="1:9" ht="29" x14ac:dyDescent="0.35">
      <c r="A20" s="17" t="s">
        <v>144</v>
      </c>
      <c r="B20" s="17" t="s">
        <v>282</v>
      </c>
      <c r="C20" s="17" t="s">
        <v>204</v>
      </c>
      <c r="D20" s="17" t="s">
        <v>252</v>
      </c>
      <c r="E20" s="17" t="s">
        <v>283</v>
      </c>
      <c r="F20" s="17" t="s">
        <v>254</v>
      </c>
      <c r="G20" s="33" t="s">
        <v>284</v>
      </c>
      <c r="H20" s="17" t="s">
        <v>256</v>
      </c>
      <c r="I20" s="51" t="s">
        <v>4</v>
      </c>
    </row>
    <row r="21" spans="1:9" ht="29" x14ac:dyDescent="0.35">
      <c r="A21" s="17" t="s">
        <v>150</v>
      </c>
      <c r="B21" s="17" t="s">
        <v>285</v>
      </c>
      <c r="C21" s="17" t="s">
        <v>204</v>
      </c>
      <c r="D21" s="17" t="s">
        <v>252</v>
      </c>
      <c r="E21" s="17" t="s">
        <v>286</v>
      </c>
      <c r="F21" s="17" t="s">
        <v>254</v>
      </c>
      <c r="G21" s="33" t="s">
        <v>287</v>
      </c>
      <c r="H21" s="17" t="s">
        <v>259</v>
      </c>
      <c r="I21" s="51" t="s">
        <v>4</v>
      </c>
    </row>
    <row r="22" spans="1:9" ht="43.5" x14ac:dyDescent="0.35">
      <c r="A22" s="17" t="s">
        <v>157</v>
      </c>
      <c r="B22" s="17" t="s">
        <v>288</v>
      </c>
      <c r="C22" s="17" t="s">
        <v>204</v>
      </c>
      <c r="D22" s="17" t="s">
        <v>289</v>
      </c>
      <c r="E22" s="17" t="s">
        <v>290</v>
      </c>
      <c r="F22" s="17" t="s">
        <v>248</v>
      </c>
      <c r="G22" s="17" t="s">
        <v>291</v>
      </c>
      <c r="H22" s="17" t="s">
        <v>292</v>
      </c>
      <c r="I22" s="51" t="s">
        <v>4</v>
      </c>
    </row>
    <row r="23" spans="1:9" ht="29" x14ac:dyDescent="0.35">
      <c r="A23" s="17" t="s">
        <v>163</v>
      </c>
      <c r="B23" s="17" t="s">
        <v>293</v>
      </c>
      <c r="C23" s="17" t="s">
        <v>204</v>
      </c>
      <c r="D23" s="17" t="s">
        <v>294</v>
      </c>
      <c r="E23" s="17" t="s">
        <v>295</v>
      </c>
      <c r="F23" s="17" t="s">
        <v>296</v>
      </c>
      <c r="G23" s="17" t="s">
        <v>297</v>
      </c>
      <c r="H23" s="17" t="s">
        <v>298</v>
      </c>
      <c r="I23" s="51" t="s">
        <v>4</v>
      </c>
    </row>
    <row r="24" spans="1:9" ht="29" x14ac:dyDescent="0.35">
      <c r="A24" s="17" t="s">
        <v>299</v>
      </c>
      <c r="B24" s="17" t="s">
        <v>300</v>
      </c>
      <c r="C24" s="17" t="s">
        <v>204</v>
      </c>
      <c r="D24" s="17" t="s">
        <v>301</v>
      </c>
      <c r="E24" s="17" t="s">
        <v>302</v>
      </c>
      <c r="F24" s="17" t="s">
        <v>303</v>
      </c>
      <c r="G24" s="17" t="s">
        <v>304</v>
      </c>
      <c r="H24" s="17" t="s">
        <v>305</v>
      </c>
      <c r="I24" s="51" t="s">
        <v>4</v>
      </c>
    </row>
    <row r="25" spans="1:9" ht="29" x14ac:dyDescent="0.35">
      <c r="A25" s="17" t="s">
        <v>306</v>
      </c>
      <c r="B25" s="17" t="s">
        <v>307</v>
      </c>
      <c r="C25" s="17" t="s">
        <v>204</v>
      </c>
      <c r="D25" s="17" t="s">
        <v>294</v>
      </c>
      <c r="E25" s="17" t="s">
        <v>308</v>
      </c>
      <c r="F25" s="17" t="s">
        <v>309</v>
      </c>
      <c r="G25" s="17" t="s">
        <v>310</v>
      </c>
      <c r="H25" s="17" t="s">
        <v>311</v>
      </c>
      <c r="I25" s="51" t="s">
        <v>4</v>
      </c>
    </row>
    <row r="26" spans="1:9" ht="29" x14ac:dyDescent="0.35">
      <c r="A26" s="17" t="s">
        <v>312</v>
      </c>
      <c r="B26" s="17" t="s">
        <v>313</v>
      </c>
      <c r="C26" s="17" t="s">
        <v>204</v>
      </c>
      <c r="D26" s="17" t="s">
        <v>314</v>
      </c>
      <c r="E26" s="17" t="s">
        <v>262</v>
      </c>
      <c r="F26" s="17" t="s">
        <v>315</v>
      </c>
      <c r="G26" s="17" t="s">
        <v>316</v>
      </c>
      <c r="H26" s="17" t="s">
        <v>317</v>
      </c>
      <c r="I26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327" priority="6" operator="containsText" text="Passed">
      <formula>NOT(ISERROR(SEARCH(("Passed"),(G1))))</formula>
    </cfRule>
    <cfRule type="containsText" dxfId="326" priority="7" operator="containsText" text="Failed">
      <formula>NOT(ISERROR(SEARCH(("Failed"),(G1))))</formula>
    </cfRule>
    <cfRule type="containsText" dxfId="325" priority="8" operator="containsText" text="Incomplete">
      <formula>NOT(ISERROR(SEARCH(("Incomplete"),(G1))))</formula>
    </cfRule>
  </conditionalFormatting>
  <conditionalFormatting sqref="I6:I26">
    <cfRule type="containsText" dxfId="324" priority="1" operator="containsText" text="Passed">
      <formula>NOT(ISERROR(SEARCH(("Passed"),(I6))))</formula>
    </cfRule>
    <cfRule type="containsText" dxfId="323" priority="2" operator="containsText" text="Failed">
      <formula>NOT(ISERROR(SEARCH(("Failed"),(I6))))</formula>
    </cfRule>
    <cfRule type="containsText" dxfId="322" priority="3" operator="containsText" text="Bug ok">
      <formula>NOT(ISERROR(SEARCH(("Bug ok"),(I6))))</formula>
    </cfRule>
    <cfRule type="containsText" dxfId="321" priority="4" operator="containsText" text="Blocked">
      <formula>NOT(ISERROR(SEARCH(("Blocked"),(I6))))</formula>
    </cfRule>
    <cfRule type="containsText" dxfId="320" priority="5" operator="containsText" text="Cannot run">
      <formula>NOT(ISERROR(SEARCH(("Cannot run"),(J6))))</formula>
    </cfRule>
  </conditionalFormatting>
  <dataValidations count="1">
    <dataValidation type="list" allowBlank="1" showErrorMessage="1" sqref="I6:I26" xr:uid="{0528CD96-6ED3-43DF-8C9D-2AE42A1D3BF1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2A42-4F7A-4120-BF77-D61C8317D6BB}">
  <dimension ref="A1:J25"/>
  <sheetViews>
    <sheetView workbookViewId="0">
      <selection activeCell="H6" sqref="H6"/>
    </sheetView>
  </sheetViews>
  <sheetFormatPr defaultRowHeight="14.5" x14ac:dyDescent="0.35"/>
  <cols>
    <col min="1" max="1" width="39.26953125" customWidth="1"/>
    <col min="2" max="10" width="27.7265625" customWidth="1"/>
  </cols>
  <sheetData>
    <row r="1" spans="1:10" ht="15.5" x14ac:dyDescent="0.35">
      <c r="A1" s="76"/>
      <c r="B1" s="77" t="s">
        <v>2</v>
      </c>
      <c r="C1" s="78"/>
      <c r="D1" s="79" t="s">
        <v>318</v>
      </c>
      <c r="E1" s="80"/>
      <c r="F1" s="81"/>
      <c r="G1" s="9" t="s">
        <v>52</v>
      </c>
      <c r="H1" s="10" t="s">
        <v>4</v>
      </c>
      <c r="I1" s="11" t="s">
        <v>5</v>
      </c>
      <c r="J1" s="12" t="s">
        <v>6</v>
      </c>
    </row>
    <row r="2" spans="1:10" ht="18" x14ac:dyDescent="0.35">
      <c r="A2" s="76"/>
      <c r="B2" s="77" t="s">
        <v>53</v>
      </c>
      <c r="C2" s="78"/>
      <c r="D2" s="79" t="s">
        <v>54</v>
      </c>
      <c r="E2" s="80"/>
      <c r="F2" s="82"/>
      <c r="G2" s="13">
        <f>COUNTIF(A6:A75,"TC-??")</f>
        <v>20</v>
      </c>
      <c r="H2" s="14">
        <f>COUNTIF(I4:I932,"Đạt")</f>
        <v>20</v>
      </c>
      <c r="I2" s="14">
        <f>COUNTIF(I4:I932,"Không Đạt")</f>
        <v>0</v>
      </c>
      <c r="J2" s="14">
        <f>COUNTIF(G4:G932,"Chưa Xong")</f>
        <v>0</v>
      </c>
    </row>
    <row r="3" spans="1:10" ht="18" x14ac:dyDescent="0.35">
      <c r="A3" s="76"/>
      <c r="B3" s="77" t="s">
        <v>55</v>
      </c>
      <c r="C3" s="78"/>
      <c r="D3" s="84">
        <v>45981</v>
      </c>
      <c r="E3" s="80"/>
      <c r="F3" s="83"/>
      <c r="G3" s="15">
        <f>SUM(H3+I3+J3)</f>
        <v>1</v>
      </c>
      <c r="H3" s="16">
        <f>H2/G2</f>
        <v>1</v>
      </c>
      <c r="I3" s="16">
        <f>I2/G2</f>
        <v>0</v>
      </c>
      <c r="J3" s="15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319</v>
      </c>
      <c r="C6" s="17" t="s">
        <v>318</v>
      </c>
      <c r="D6" s="17" t="s">
        <v>205</v>
      </c>
      <c r="E6" s="17" t="s">
        <v>320</v>
      </c>
      <c r="F6" s="17" t="s">
        <v>321</v>
      </c>
      <c r="G6" s="17" t="s">
        <v>322</v>
      </c>
      <c r="H6" s="17" t="s">
        <v>323</v>
      </c>
      <c r="I6" s="31" t="s">
        <v>4</v>
      </c>
    </row>
    <row r="7" spans="1:10" ht="29" x14ac:dyDescent="0.35">
      <c r="A7" s="17" t="s">
        <v>72</v>
      </c>
      <c r="B7" s="17" t="s">
        <v>324</v>
      </c>
      <c r="C7" s="17" t="s">
        <v>318</v>
      </c>
      <c r="D7" s="17" t="s">
        <v>224</v>
      </c>
      <c r="E7" s="17" t="s">
        <v>325</v>
      </c>
      <c r="F7" s="17" t="s">
        <v>326</v>
      </c>
      <c r="G7" s="17" t="s">
        <v>214</v>
      </c>
      <c r="H7" s="17" t="s">
        <v>327</v>
      </c>
      <c r="I7" s="31" t="s">
        <v>4</v>
      </c>
    </row>
    <row r="8" spans="1:10" ht="29" x14ac:dyDescent="0.35">
      <c r="A8" s="17" t="s">
        <v>77</v>
      </c>
      <c r="B8" s="17" t="s">
        <v>328</v>
      </c>
      <c r="C8" s="17" t="s">
        <v>318</v>
      </c>
      <c r="D8" s="17" t="s">
        <v>217</v>
      </c>
      <c r="E8" s="17" t="s">
        <v>329</v>
      </c>
      <c r="F8" s="17" t="s">
        <v>330</v>
      </c>
      <c r="G8" s="17" t="s">
        <v>331</v>
      </c>
      <c r="H8" s="17" t="s">
        <v>332</v>
      </c>
      <c r="I8" s="31" t="s">
        <v>4</v>
      </c>
    </row>
    <row r="9" spans="1:10" ht="29" x14ac:dyDescent="0.35">
      <c r="A9" s="17" t="s">
        <v>83</v>
      </c>
      <c r="B9" s="17" t="s">
        <v>234</v>
      </c>
      <c r="C9" s="17" t="s">
        <v>318</v>
      </c>
      <c r="D9" s="17" t="s">
        <v>235</v>
      </c>
      <c r="E9" s="17" t="s">
        <v>333</v>
      </c>
      <c r="F9" s="17" t="s">
        <v>334</v>
      </c>
      <c r="G9" s="17" t="s">
        <v>335</v>
      </c>
      <c r="H9" s="17" t="s">
        <v>336</v>
      </c>
      <c r="I9" s="31" t="s">
        <v>4</v>
      </c>
    </row>
    <row r="10" spans="1:10" ht="43.5" x14ac:dyDescent="0.35">
      <c r="A10" s="17" t="s">
        <v>88</v>
      </c>
      <c r="B10" s="17" t="s">
        <v>337</v>
      </c>
      <c r="C10" s="17" t="s">
        <v>318</v>
      </c>
      <c r="D10" s="17" t="s">
        <v>224</v>
      </c>
      <c r="E10" s="17" t="s">
        <v>225</v>
      </c>
      <c r="F10" t="s">
        <v>338</v>
      </c>
      <c r="G10" s="17" t="s">
        <v>339</v>
      </c>
      <c r="H10" s="17" t="s">
        <v>340</v>
      </c>
      <c r="I10" s="31" t="s">
        <v>4</v>
      </c>
    </row>
    <row r="11" spans="1:10" ht="43.5" x14ac:dyDescent="0.35">
      <c r="A11" s="17" t="s">
        <v>233</v>
      </c>
      <c r="B11" s="17" t="s">
        <v>341</v>
      </c>
      <c r="C11" s="17" t="s">
        <v>318</v>
      </c>
      <c r="D11" s="17" t="s">
        <v>224</v>
      </c>
      <c r="E11" s="17" t="s">
        <v>225</v>
      </c>
      <c r="F11" t="s">
        <v>342</v>
      </c>
      <c r="G11" s="17" t="s">
        <v>343</v>
      </c>
      <c r="H11" s="17" t="s">
        <v>340</v>
      </c>
      <c r="I11" s="31" t="s">
        <v>4</v>
      </c>
    </row>
    <row r="12" spans="1:10" ht="29" x14ac:dyDescent="0.35">
      <c r="A12" s="17" t="s">
        <v>93</v>
      </c>
      <c r="B12" s="17" t="s">
        <v>344</v>
      </c>
      <c r="C12" s="17" t="s">
        <v>318</v>
      </c>
      <c r="D12" s="17" t="s">
        <v>241</v>
      </c>
      <c r="E12" s="17" t="s">
        <v>225</v>
      </c>
      <c r="F12" s="17" t="s">
        <v>345</v>
      </c>
      <c r="G12" s="17" t="s">
        <v>346</v>
      </c>
      <c r="H12" s="17" t="s">
        <v>347</v>
      </c>
      <c r="I12" s="31" t="s">
        <v>4</v>
      </c>
    </row>
    <row r="13" spans="1:10" ht="43.5" x14ac:dyDescent="0.35">
      <c r="A13" s="17" t="s">
        <v>98</v>
      </c>
      <c r="B13" s="17" t="s">
        <v>348</v>
      </c>
      <c r="C13" s="17" t="s">
        <v>318</v>
      </c>
      <c r="D13" s="17" t="s">
        <v>246</v>
      </c>
      <c r="E13" s="17" t="s">
        <v>349</v>
      </c>
      <c r="F13" s="17" t="s">
        <v>350</v>
      </c>
      <c r="G13" s="33" t="s">
        <v>351</v>
      </c>
      <c r="H13" s="17" t="s">
        <v>352</v>
      </c>
      <c r="I13" s="31" t="s">
        <v>4</v>
      </c>
      <c r="J13" s="49"/>
    </row>
    <row r="14" spans="1:10" ht="29" x14ac:dyDescent="0.35">
      <c r="A14" s="17" t="s">
        <v>105</v>
      </c>
      <c r="B14" s="17" t="s">
        <v>353</v>
      </c>
      <c r="C14" s="17" t="s">
        <v>318</v>
      </c>
      <c r="D14" s="17" t="s">
        <v>252</v>
      </c>
      <c r="E14" s="17" t="s">
        <v>349</v>
      </c>
      <c r="F14" s="17" t="s">
        <v>354</v>
      </c>
      <c r="G14" s="33" t="s">
        <v>355</v>
      </c>
      <c r="H14" s="17" t="s">
        <v>356</v>
      </c>
      <c r="I14" s="31" t="s">
        <v>4</v>
      </c>
    </row>
    <row r="15" spans="1:10" ht="43.5" x14ac:dyDescent="0.35">
      <c r="A15" s="17" t="s">
        <v>113</v>
      </c>
      <c r="B15" s="17" t="s">
        <v>357</v>
      </c>
      <c r="C15" s="17" t="s">
        <v>318</v>
      </c>
      <c r="D15" s="17" t="s">
        <v>252</v>
      </c>
      <c r="E15" s="17" t="s">
        <v>349</v>
      </c>
      <c r="F15" s="17" t="s">
        <v>354</v>
      </c>
      <c r="G15" s="33" t="s">
        <v>358</v>
      </c>
      <c r="H15" s="17" t="s">
        <v>359</v>
      </c>
      <c r="I15" s="31" t="s">
        <v>4</v>
      </c>
    </row>
    <row r="16" spans="1:10" ht="29" x14ac:dyDescent="0.35">
      <c r="A16" s="17" t="s">
        <v>119</v>
      </c>
      <c r="B16" s="17" t="s">
        <v>360</v>
      </c>
      <c r="C16" s="17" t="s">
        <v>318</v>
      </c>
      <c r="D16" s="17" t="s">
        <v>272</v>
      </c>
      <c r="E16" s="17" t="s">
        <v>349</v>
      </c>
      <c r="F16" s="17" t="s">
        <v>361</v>
      </c>
      <c r="G16" s="17" t="s">
        <v>274</v>
      </c>
      <c r="H16" s="17" t="s">
        <v>362</v>
      </c>
      <c r="I16" s="31" t="s">
        <v>4</v>
      </c>
    </row>
    <row r="17" spans="1:10" ht="29" x14ac:dyDescent="0.35">
      <c r="A17" s="17" t="s">
        <v>125</v>
      </c>
      <c r="B17" s="17" t="s">
        <v>360</v>
      </c>
      <c r="C17" s="17" t="s">
        <v>318</v>
      </c>
      <c r="D17" s="17" t="s">
        <v>314</v>
      </c>
      <c r="E17" s="17" t="s">
        <v>349</v>
      </c>
      <c r="F17" s="17" t="s">
        <v>361</v>
      </c>
      <c r="G17" s="17" t="s">
        <v>363</v>
      </c>
      <c r="H17" s="17" t="s">
        <v>362</v>
      </c>
      <c r="I17" s="31" t="s">
        <v>4</v>
      </c>
    </row>
    <row r="18" spans="1:10" ht="29" x14ac:dyDescent="0.35">
      <c r="A18" s="17" t="s">
        <v>132</v>
      </c>
      <c r="B18" s="17" t="s">
        <v>364</v>
      </c>
      <c r="C18" s="17" t="s">
        <v>318</v>
      </c>
      <c r="D18" s="17" t="s">
        <v>277</v>
      </c>
      <c r="E18" s="17" t="s">
        <v>365</v>
      </c>
      <c r="F18" s="17" t="s">
        <v>279</v>
      </c>
      <c r="G18" s="17" t="s">
        <v>280</v>
      </c>
      <c r="H18" s="17" t="s">
        <v>366</v>
      </c>
      <c r="I18" s="31" t="s">
        <v>4</v>
      </c>
    </row>
    <row r="19" spans="1:10" ht="29" x14ac:dyDescent="0.35">
      <c r="A19" s="17" t="s">
        <v>138</v>
      </c>
      <c r="B19" s="17" t="s">
        <v>367</v>
      </c>
      <c r="C19" s="17" t="s">
        <v>318</v>
      </c>
      <c r="D19" s="17" t="s">
        <v>368</v>
      </c>
      <c r="E19" s="17" t="s">
        <v>283</v>
      </c>
      <c r="F19" s="17" t="s">
        <v>369</v>
      </c>
      <c r="G19" s="33" t="s">
        <v>370</v>
      </c>
      <c r="H19" s="17" t="s">
        <v>371</v>
      </c>
      <c r="I19" s="31" t="s">
        <v>4</v>
      </c>
    </row>
    <row r="20" spans="1:10" ht="29" x14ac:dyDescent="0.35">
      <c r="A20" s="17" t="s">
        <v>144</v>
      </c>
      <c r="B20" s="17" t="s">
        <v>353</v>
      </c>
      <c r="C20" s="17" t="s">
        <v>318</v>
      </c>
      <c r="D20" s="17" t="s">
        <v>252</v>
      </c>
      <c r="E20" s="17" t="s">
        <v>283</v>
      </c>
      <c r="F20" s="17" t="s">
        <v>354</v>
      </c>
      <c r="G20" s="33" t="s">
        <v>372</v>
      </c>
      <c r="H20" s="17" t="s">
        <v>356</v>
      </c>
      <c r="I20" s="31" t="s">
        <v>4</v>
      </c>
    </row>
    <row r="21" spans="1:10" ht="43.5" x14ac:dyDescent="0.35">
      <c r="A21" s="17" t="s">
        <v>150</v>
      </c>
      <c r="B21" s="17" t="s">
        <v>373</v>
      </c>
      <c r="C21" s="17" t="s">
        <v>318</v>
      </c>
      <c r="D21" s="17" t="s">
        <v>252</v>
      </c>
      <c r="E21" s="17" t="s">
        <v>283</v>
      </c>
      <c r="F21" s="17" t="s">
        <v>354</v>
      </c>
      <c r="G21" s="33" t="s">
        <v>374</v>
      </c>
      <c r="H21" s="17" t="s">
        <v>359</v>
      </c>
      <c r="I21" s="31" t="s">
        <v>4</v>
      </c>
    </row>
    <row r="22" spans="1:10" ht="29" x14ac:dyDescent="0.35">
      <c r="A22" s="17" t="s">
        <v>157</v>
      </c>
      <c r="B22" s="17" t="s">
        <v>375</v>
      </c>
      <c r="C22" s="17" t="s">
        <v>318</v>
      </c>
      <c r="D22" t="s">
        <v>294</v>
      </c>
      <c r="E22" t="s">
        <v>376</v>
      </c>
      <c r="F22" t="s">
        <v>377</v>
      </c>
      <c r="G22" t="s">
        <v>378</v>
      </c>
      <c r="H22" t="s">
        <v>379</v>
      </c>
      <c r="I22" s="31" t="s">
        <v>4</v>
      </c>
      <c r="J22" s="49"/>
    </row>
    <row r="23" spans="1:10" x14ac:dyDescent="0.35">
      <c r="A23" s="17" t="s">
        <v>163</v>
      </c>
      <c r="B23" t="s">
        <v>380</v>
      </c>
      <c r="C23" s="17" t="s">
        <v>318</v>
      </c>
      <c r="D23" t="s">
        <v>294</v>
      </c>
      <c r="E23" t="s">
        <v>381</v>
      </c>
      <c r="G23" t="s">
        <v>382</v>
      </c>
      <c r="H23" t="s">
        <v>383</v>
      </c>
      <c r="I23" s="31" t="s">
        <v>4</v>
      </c>
      <c r="J23" s="49"/>
    </row>
    <row r="24" spans="1:10" x14ac:dyDescent="0.35">
      <c r="A24" s="17" t="s">
        <v>299</v>
      </c>
      <c r="B24" t="s">
        <v>384</v>
      </c>
      <c r="C24" s="17" t="s">
        <v>318</v>
      </c>
      <c r="D24" t="s">
        <v>294</v>
      </c>
      <c r="E24" t="s">
        <v>381</v>
      </c>
      <c r="G24" t="s">
        <v>385</v>
      </c>
      <c r="H24" t="s">
        <v>386</v>
      </c>
      <c r="I24" s="31" t="s">
        <v>4</v>
      </c>
    </row>
    <row r="25" spans="1:10" ht="58" x14ac:dyDescent="0.35">
      <c r="A25" s="17" t="s">
        <v>306</v>
      </c>
      <c r="B25" s="17" t="s">
        <v>387</v>
      </c>
      <c r="C25" s="17" t="s">
        <v>318</v>
      </c>
      <c r="D25" t="s">
        <v>294</v>
      </c>
      <c r="E25" t="s">
        <v>388</v>
      </c>
      <c r="F25" s="17" t="s">
        <v>354</v>
      </c>
      <c r="G25" t="s">
        <v>382</v>
      </c>
      <c r="H25" s="17" t="s">
        <v>311</v>
      </c>
      <c r="I25" s="3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319" priority="11" operator="containsText" text="Passed">
      <formula>NOT(ISERROR(SEARCH(("Passed"),(G1))))</formula>
    </cfRule>
    <cfRule type="containsText" dxfId="318" priority="12" operator="containsText" text="Failed">
      <formula>NOT(ISERROR(SEARCH(("Failed"),(G1))))</formula>
    </cfRule>
    <cfRule type="containsText" dxfId="317" priority="13" operator="containsText" text="Incomplete">
      <formula>NOT(ISERROR(SEARCH(("Incomplete"),(G1))))</formula>
    </cfRule>
  </conditionalFormatting>
  <conditionalFormatting sqref="I6:I25">
    <cfRule type="containsText" dxfId="316" priority="6" operator="containsText" text="Passed">
      <formula>NOT(ISERROR(SEARCH(("Passed"),(I6))))</formula>
    </cfRule>
    <cfRule type="containsText" dxfId="315" priority="7" operator="containsText" text="Failed">
      <formula>NOT(ISERROR(SEARCH(("Failed"),(I6))))</formula>
    </cfRule>
    <cfRule type="containsText" dxfId="314" priority="8" operator="containsText" text="Bug ok">
      <formula>NOT(ISERROR(SEARCH(("Bug ok"),(I6))))</formula>
    </cfRule>
    <cfRule type="containsText" dxfId="313" priority="9" operator="containsText" text="Blocked">
      <formula>NOT(ISERROR(SEARCH(("Blocked"),(I6))))</formula>
    </cfRule>
    <cfRule type="containsText" dxfId="312" priority="10" operator="containsText" text="Cannot run">
      <formula>NOT(ISERROR(SEARCH(("Cannot run"),(J6))))</formula>
    </cfRule>
  </conditionalFormatting>
  <dataValidations count="1">
    <dataValidation type="list" allowBlank="1" showErrorMessage="1" sqref="I6:I25" xr:uid="{FF3C8AE1-AA42-41D7-83DF-2CF10DF6C512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AA2A-DCFF-4958-B499-A06F4AA45F63}">
  <dimension ref="A1:J31"/>
  <sheetViews>
    <sheetView topLeftCell="D1" workbookViewId="0">
      <selection activeCell="I8" sqref="I8"/>
    </sheetView>
  </sheetViews>
  <sheetFormatPr defaultRowHeight="14.5" x14ac:dyDescent="0.35"/>
  <cols>
    <col min="1" max="1" width="39.54296875" customWidth="1"/>
    <col min="2" max="10" width="27.81640625" customWidth="1"/>
  </cols>
  <sheetData>
    <row r="1" spans="1:10" ht="15.5" x14ac:dyDescent="0.35">
      <c r="A1" s="76"/>
      <c r="B1" s="77" t="s">
        <v>2</v>
      </c>
      <c r="C1" s="78"/>
      <c r="D1" s="79" t="s">
        <v>389</v>
      </c>
      <c r="E1" s="80"/>
      <c r="F1" s="81"/>
      <c r="G1" s="9" t="s">
        <v>52</v>
      </c>
      <c r="H1" s="10" t="s">
        <v>4</v>
      </c>
      <c r="I1" s="11" t="s">
        <v>5</v>
      </c>
      <c r="J1" s="12" t="s">
        <v>6</v>
      </c>
    </row>
    <row r="2" spans="1:10" ht="18" x14ac:dyDescent="0.35">
      <c r="A2" s="76"/>
      <c r="B2" s="77" t="s">
        <v>53</v>
      </c>
      <c r="C2" s="78"/>
      <c r="D2" s="79" t="s">
        <v>54</v>
      </c>
      <c r="E2" s="80"/>
      <c r="F2" s="82"/>
      <c r="G2" s="13">
        <f>COUNTIF(A6:A78,"TC-??")</f>
        <v>26</v>
      </c>
      <c r="H2" s="14">
        <f>COUNTIF(I4:I935,"Đạt")</f>
        <v>26</v>
      </c>
      <c r="I2" s="14">
        <f>COUNTIF(I4:I935,"Không Đạt")</f>
        <v>0</v>
      </c>
      <c r="J2" s="14">
        <f>COUNTIF(I4:I935,"Chưa Xong")</f>
        <v>0</v>
      </c>
    </row>
    <row r="3" spans="1:10" ht="18" x14ac:dyDescent="0.35">
      <c r="A3" s="76"/>
      <c r="B3" s="77" t="s">
        <v>55</v>
      </c>
      <c r="C3" s="78"/>
      <c r="D3" s="84">
        <v>45980</v>
      </c>
      <c r="E3" s="80"/>
      <c r="F3" s="83"/>
      <c r="G3" s="15">
        <f>SUM(H3+I3+J3)</f>
        <v>1</v>
      </c>
      <c r="H3" s="16">
        <f>H2/G2</f>
        <v>1</v>
      </c>
      <c r="I3" s="16">
        <f>I2/G2</f>
        <v>0</v>
      </c>
      <c r="J3" s="15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390</v>
      </c>
      <c r="C6" s="17" t="s">
        <v>223</v>
      </c>
      <c r="D6" s="17" t="s">
        <v>205</v>
      </c>
      <c r="E6" s="17" t="s">
        <v>320</v>
      </c>
      <c r="F6" s="17" t="s">
        <v>321</v>
      </c>
      <c r="G6" s="17" t="s">
        <v>391</v>
      </c>
      <c r="H6" s="17" t="s">
        <v>392</v>
      </c>
      <c r="I6" s="31" t="s">
        <v>4</v>
      </c>
    </row>
    <row r="7" spans="1:10" ht="43.5" x14ac:dyDescent="0.35">
      <c r="A7" s="17" t="s">
        <v>72</v>
      </c>
      <c r="B7" s="17" t="s">
        <v>393</v>
      </c>
      <c r="C7" s="17" t="s">
        <v>223</v>
      </c>
      <c r="D7" s="17" t="s">
        <v>224</v>
      </c>
      <c r="E7" s="17" t="s">
        <v>225</v>
      </c>
      <c r="F7" s="17" t="s">
        <v>394</v>
      </c>
      <c r="G7" s="17" t="s">
        <v>214</v>
      </c>
      <c r="H7" s="17" t="s">
        <v>395</v>
      </c>
      <c r="I7" s="51" t="s">
        <v>4</v>
      </c>
    </row>
    <row r="8" spans="1:10" ht="58" x14ac:dyDescent="0.35">
      <c r="A8" s="17" t="s">
        <v>77</v>
      </c>
      <c r="B8" s="17" t="s">
        <v>396</v>
      </c>
      <c r="C8" s="17" t="s">
        <v>223</v>
      </c>
      <c r="D8" s="17" t="s">
        <v>224</v>
      </c>
      <c r="E8" s="17" t="s">
        <v>225</v>
      </c>
      <c r="F8" t="s">
        <v>397</v>
      </c>
      <c r="G8" s="17" t="s">
        <v>398</v>
      </c>
      <c r="H8" s="17" t="s">
        <v>399</v>
      </c>
      <c r="I8" s="51" t="s">
        <v>4</v>
      </c>
    </row>
    <row r="9" spans="1:10" ht="58" x14ac:dyDescent="0.35">
      <c r="A9" s="17" t="s">
        <v>83</v>
      </c>
      <c r="B9" s="17" t="s">
        <v>400</v>
      </c>
      <c r="C9" s="17" t="s">
        <v>223</v>
      </c>
      <c r="D9" s="17" t="s">
        <v>224</v>
      </c>
      <c r="E9" s="17" t="s">
        <v>225</v>
      </c>
      <c r="F9" t="s">
        <v>401</v>
      </c>
      <c r="G9" s="17" t="s">
        <v>402</v>
      </c>
      <c r="H9" s="17" t="s">
        <v>403</v>
      </c>
      <c r="I9" s="51" t="s">
        <v>4</v>
      </c>
    </row>
    <row r="10" spans="1:10" ht="29" x14ac:dyDescent="0.35">
      <c r="A10" s="17" t="s">
        <v>88</v>
      </c>
      <c r="B10" s="17" t="s">
        <v>404</v>
      </c>
      <c r="C10" s="17" t="s">
        <v>223</v>
      </c>
      <c r="D10" s="17" t="s">
        <v>235</v>
      </c>
      <c r="E10" s="17" t="s">
        <v>236</v>
      </c>
      <c r="F10" s="17" t="s">
        <v>405</v>
      </c>
      <c r="G10" s="17" t="s">
        <v>406</v>
      </c>
      <c r="H10" s="17" t="s">
        <v>407</v>
      </c>
      <c r="I10" s="51" t="s">
        <v>4</v>
      </c>
    </row>
    <row r="11" spans="1:10" ht="29" x14ac:dyDescent="0.35">
      <c r="A11" s="17" t="s">
        <v>233</v>
      </c>
      <c r="B11" s="17" t="s">
        <v>234</v>
      </c>
      <c r="C11" s="17" t="s">
        <v>223</v>
      </c>
      <c r="D11" s="17" t="s">
        <v>235</v>
      </c>
      <c r="E11" s="17" t="s">
        <v>236</v>
      </c>
      <c r="F11" s="17" t="s">
        <v>408</v>
      </c>
      <c r="G11" s="17" t="s">
        <v>409</v>
      </c>
      <c r="H11" s="17" t="s">
        <v>239</v>
      </c>
      <c r="I11" s="51" t="s">
        <v>4</v>
      </c>
    </row>
    <row r="12" spans="1:10" ht="29" x14ac:dyDescent="0.35">
      <c r="A12" s="17" t="s">
        <v>93</v>
      </c>
      <c r="B12" s="17" t="s">
        <v>410</v>
      </c>
      <c r="C12" s="17" t="s">
        <v>223</v>
      </c>
      <c r="D12" s="17" t="s">
        <v>241</v>
      </c>
      <c r="E12" s="17" t="s">
        <v>225</v>
      </c>
      <c r="F12" s="17" t="s">
        <v>345</v>
      </c>
      <c r="G12" s="33" t="s">
        <v>411</v>
      </c>
      <c r="H12" s="17" t="s">
        <v>412</v>
      </c>
      <c r="I12" s="51" t="s">
        <v>4</v>
      </c>
    </row>
    <row r="13" spans="1:10" ht="101.5" x14ac:dyDescent="0.35">
      <c r="A13" s="17" t="s">
        <v>98</v>
      </c>
      <c r="B13" s="17" t="s">
        <v>413</v>
      </c>
      <c r="C13" s="17" t="s">
        <v>223</v>
      </c>
      <c r="D13" s="17" t="s">
        <v>246</v>
      </c>
      <c r="E13" s="17" t="s">
        <v>349</v>
      </c>
      <c r="F13" s="17" t="s">
        <v>350</v>
      </c>
      <c r="G13" s="33" t="s">
        <v>414</v>
      </c>
      <c r="H13" s="17" t="s">
        <v>415</v>
      </c>
      <c r="I13" s="51" t="s">
        <v>4</v>
      </c>
    </row>
    <row r="14" spans="1:10" ht="43.5" x14ac:dyDescent="0.35">
      <c r="A14" s="17" t="s">
        <v>105</v>
      </c>
      <c r="B14" s="17" t="s">
        <v>416</v>
      </c>
      <c r="C14" s="17" t="s">
        <v>223</v>
      </c>
      <c r="D14" s="17" t="s">
        <v>252</v>
      </c>
      <c r="E14" s="17" t="s">
        <v>349</v>
      </c>
      <c r="F14" s="17" t="s">
        <v>354</v>
      </c>
      <c r="G14" s="33" t="s">
        <v>417</v>
      </c>
      <c r="H14" s="17" t="s">
        <v>418</v>
      </c>
      <c r="I14" s="51" t="s">
        <v>4</v>
      </c>
    </row>
    <row r="15" spans="1:10" ht="29" x14ac:dyDescent="0.35">
      <c r="A15" s="17" t="s">
        <v>113</v>
      </c>
      <c r="B15" s="17" t="s">
        <v>416</v>
      </c>
      <c r="C15" s="17" t="s">
        <v>223</v>
      </c>
      <c r="D15" s="17" t="s">
        <v>252</v>
      </c>
      <c r="E15" s="17" t="s">
        <v>349</v>
      </c>
      <c r="F15" s="17" t="s">
        <v>354</v>
      </c>
      <c r="G15" s="33" t="s">
        <v>419</v>
      </c>
      <c r="H15" s="17" t="s">
        <v>418</v>
      </c>
      <c r="I15" s="51" t="s">
        <v>4</v>
      </c>
    </row>
    <row r="16" spans="1:10" ht="43.5" x14ac:dyDescent="0.35">
      <c r="A16" s="17" t="s">
        <v>119</v>
      </c>
      <c r="B16" s="17" t="s">
        <v>420</v>
      </c>
      <c r="C16" s="17" t="s">
        <v>223</v>
      </c>
      <c r="D16" s="17" t="s">
        <v>252</v>
      </c>
      <c r="E16" s="17" t="s">
        <v>349</v>
      </c>
      <c r="F16" s="17" t="s">
        <v>354</v>
      </c>
      <c r="G16" s="33" t="s">
        <v>421</v>
      </c>
      <c r="H16" s="17" t="s">
        <v>422</v>
      </c>
      <c r="I16" s="51" t="s">
        <v>4</v>
      </c>
    </row>
    <row r="17" spans="1:9" ht="72.5" x14ac:dyDescent="0.35">
      <c r="A17" s="17" t="s">
        <v>125</v>
      </c>
      <c r="B17" s="17" t="s">
        <v>423</v>
      </c>
      <c r="C17" s="17" t="s">
        <v>223</v>
      </c>
      <c r="D17" s="17" t="s">
        <v>252</v>
      </c>
      <c r="E17" s="17" t="s">
        <v>349</v>
      </c>
      <c r="F17" s="17" t="s">
        <v>309</v>
      </c>
      <c r="G17" s="33" t="s">
        <v>424</v>
      </c>
      <c r="H17" s="17" t="s">
        <v>425</v>
      </c>
      <c r="I17" s="51" t="s">
        <v>4</v>
      </c>
    </row>
    <row r="18" spans="1:9" ht="29" x14ac:dyDescent="0.35">
      <c r="A18" s="17" t="s">
        <v>132</v>
      </c>
      <c r="B18" s="17" t="s">
        <v>426</v>
      </c>
      <c r="C18" s="17" t="s">
        <v>223</v>
      </c>
      <c r="D18" s="17" t="s">
        <v>427</v>
      </c>
      <c r="E18" s="17" t="s">
        <v>262</v>
      </c>
      <c r="F18" s="17" t="s">
        <v>428</v>
      </c>
      <c r="G18" s="17" t="s">
        <v>429</v>
      </c>
      <c r="H18" s="17" t="s">
        <v>430</v>
      </c>
      <c r="I18" s="51" t="s">
        <v>4</v>
      </c>
    </row>
    <row r="19" spans="1:9" ht="29" x14ac:dyDescent="0.35">
      <c r="A19" s="17" t="s">
        <v>138</v>
      </c>
      <c r="B19" s="17" t="s">
        <v>431</v>
      </c>
      <c r="C19" s="17" t="s">
        <v>223</v>
      </c>
      <c r="D19" s="17" t="s">
        <v>432</v>
      </c>
      <c r="E19" s="17" t="s">
        <v>433</v>
      </c>
      <c r="F19" s="17" t="s">
        <v>434</v>
      </c>
      <c r="G19" s="17" t="s">
        <v>435</v>
      </c>
      <c r="H19" s="17" t="s">
        <v>436</v>
      </c>
      <c r="I19" s="51" t="s">
        <v>4</v>
      </c>
    </row>
    <row r="20" spans="1:9" ht="29" x14ac:dyDescent="0.35">
      <c r="A20" s="17" t="s">
        <v>144</v>
      </c>
      <c r="B20" s="17" t="s">
        <v>437</v>
      </c>
      <c r="C20" s="17" t="s">
        <v>223</v>
      </c>
      <c r="D20" s="17" t="s">
        <v>438</v>
      </c>
      <c r="E20" s="17" t="s">
        <v>283</v>
      </c>
      <c r="F20" s="17" t="s">
        <v>439</v>
      </c>
      <c r="G20" s="17" t="s">
        <v>440</v>
      </c>
      <c r="H20" s="17" t="s">
        <v>441</v>
      </c>
      <c r="I20" s="51" t="s">
        <v>4</v>
      </c>
    </row>
    <row r="21" spans="1:9" ht="29" x14ac:dyDescent="0.35">
      <c r="A21" s="17" t="s">
        <v>150</v>
      </c>
      <c r="B21" s="17" t="s">
        <v>442</v>
      </c>
      <c r="C21" s="17" t="s">
        <v>223</v>
      </c>
      <c r="D21" s="17" t="s">
        <v>443</v>
      </c>
      <c r="E21" s="17" t="s">
        <v>262</v>
      </c>
      <c r="F21" s="17" t="s">
        <v>444</v>
      </c>
      <c r="G21" s="17" t="s">
        <v>445</v>
      </c>
      <c r="H21" s="17" t="s">
        <v>446</v>
      </c>
      <c r="I21" s="51" t="s">
        <v>4</v>
      </c>
    </row>
    <row r="22" spans="1:9" ht="29" x14ac:dyDescent="0.35">
      <c r="A22" s="17" t="s">
        <v>157</v>
      </c>
      <c r="B22" s="17" t="s">
        <v>447</v>
      </c>
      <c r="C22" s="17" t="s">
        <v>223</v>
      </c>
      <c r="D22" s="17" t="s">
        <v>448</v>
      </c>
      <c r="E22" s="17" t="s">
        <v>262</v>
      </c>
      <c r="F22" s="17" t="s">
        <v>449</v>
      </c>
      <c r="G22" s="17" t="s">
        <v>450</v>
      </c>
      <c r="H22" s="17" t="s">
        <v>451</v>
      </c>
      <c r="I22" s="51" t="s">
        <v>4</v>
      </c>
    </row>
    <row r="23" spans="1:9" ht="29" x14ac:dyDescent="0.35">
      <c r="A23" s="17" t="s">
        <v>163</v>
      </c>
      <c r="B23" s="17" t="s">
        <v>452</v>
      </c>
      <c r="C23" s="17" t="s">
        <v>223</v>
      </c>
      <c r="D23" s="17" t="s">
        <v>453</v>
      </c>
      <c r="E23" s="17" t="s">
        <v>262</v>
      </c>
      <c r="F23" s="17" t="s">
        <v>454</v>
      </c>
      <c r="G23" s="17" t="s">
        <v>455</v>
      </c>
      <c r="H23" s="17" t="s">
        <v>456</v>
      </c>
      <c r="I23" s="51" t="s">
        <v>4</v>
      </c>
    </row>
    <row r="24" spans="1:9" ht="29" x14ac:dyDescent="0.35">
      <c r="A24" s="17" t="s">
        <v>299</v>
      </c>
      <c r="B24" s="17" t="s">
        <v>271</v>
      </c>
      <c r="C24" s="17" t="s">
        <v>223</v>
      </c>
      <c r="D24" s="17" t="s">
        <v>272</v>
      </c>
      <c r="E24" s="17" t="s">
        <v>349</v>
      </c>
      <c r="F24" s="17" t="s">
        <v>361</v>
      </c>
      <c r="G24" s="17" t="s">
        <v>274</v>
      </c>
      <c r="H24" s="17" t="s">
        <v>457</v>
      </c>
      <c r="I24" s="51" t="s">
        <v>4</v>
      </c>
    </row>
    <row r="25" spans="1:9" ht="29" x14ac:dyDescent="0.35">
      <c r="A25" s="17" t="s">
        <v>306</v>
      </c>
      <c r="B25" s="17" t="s">
        <v>458</v>
      </c>
      <c r="C25" s="17" t="s">
        <v>223</v>
      </c>
      <c r="D25" s="17" t="s">
        <v>459</v>
      </c>
      <c r="E25" s="17" t="s">
        <v>460</v>
      </c>
      <c r="F25" s="17" t="s">
        <v>461</v>
      </c>
      <c r="G25" s="17" t="s">
        <v>280</v>
      </c>
      <c r="H25" s="17" t="s">
        <v>462</v>
      </c>
      <c r="I25" s="51" t="s">
        <v>4</v>
      </c>
    </row>
    <row r="26" spans="1:9" ht="29" x14ac:dyDescent="0.35">
      <c r="A26" s="17" t="s">
        <v>312</v>
      </c>
      <c r="B26" s="17" t="s">
        <v>463</v>
      </c>
      <c r="C26" s="17" t="s">
        <v>223</v>
      </c>
      <c r="D26" s="17" t="s">
        <v>368</v>
      </c>
      <c r="E26" s="17" t="s">
        <v>283</v>
      </c>
      <c r="F26" s="17" t="s">
        <v>369</v>
      </c>
      <c r="G26" s="17" t="s">
        <v>464</v>
      </c>
      <c r="H26" s="17" t="s">
        <v>371</v>
      </c>
      <c r="I26" s="51" t="s">
        <v>4</v>
      </c>
    </row>
    <row r="27" spans="1:9" ht="29" x14ac:dyDescent="0.35">
      <c r="A27" s="17" t="s">
        <v>465</v>
      </c>
      <c r="B27" s="17" t="s">
        <v>466</v>
      </c>
      <c r="C27" s="17" t="s">
        <v>223</v>
      </c>
      <c r="D27" s="17" t="s">
        <v>467</v>
      </c>
      <c r="E27" s="17" t="s">
        <v>283</v>
      </c>
      <c r="F27" s="17" t="s">
        <v>468</v>
      </c>
      <c r="G27" s="17" t="s">
        <v>469</v>
      </c>
      <c r="H27" s="17" t="s">
        <v>470</v>
      </c>
      <c r="I27" s="51" t="s">
        <v>4</v>
      </c>
    </row>
    <row r="28" spans="1:9" ht="29" x14ac:dyDescent="0.35">
      <c r="A28" s="17" t="s">
        <v>471</v>
      </c>
      <c r="B28" s="17" t="s">
        <v>472</v>
      </c>
      <c r="C28" s="17" t="s">
        <v>223</v>
      </c>
      <c r="D28" s="17" t="s">
        <v>294</v>
      </c>
      <c r="E28" s="17" t="s">
        <v>473</v>
      </c>
      <c r="F28" s="17" t="s">
        <v>296</v>
      </c>
      <c r="G28" s="17" t="s">
        <v>297</v>
      </c>
      <c r="H28" s="17" t="s">
        <v>298</v>
      </c>
      <c r="I28" s="51" t="s">
        <v>4</v>
      </c>
    </row>
    <row r="29" spans="1:9" ht="29" x14ac:dyDescent="0.35">
      <c r="A29" s="17" t="s">
        <v>474</v>
      </c>
      <c r="B29" s="17" t="s">
        <v>475</v>
      </c>
      <c r="C29" s="17" t="s">
        <v>223</v>
      </c>
      <c r="D29" s="17" t="s">
        <v>301</v>
      </c>
      <c r="E29" s="17" t="s">
        <v>302</v>
      </c>
      <c r="F29" s="17" t="s">
        <v>303</v>
      </c>
      <c r="G29" s="17" t="s">
        <v>304</v>
      </c>
      <c r="H29" s="17" t="s">
        <v>305</v>
      </c>
      <c r="I29" s="51" t="s">
        <v>4</v>
      </c>
    </row>
    <row r="30" spans="1:9" ht="29" x14ac:dyDescent="0.35">
      <c r="A30" s="17" t="s">
        <v>476</v>
      </c>
      <c r="B30" s="17" t="s">
        <v>477</v>
      </c>
      <c r="C30" s="17" t="s">
        <v>223</v>
      </c>
      <c r="D30" s="17" t="s">
        <v>294</v>
      </c>
      <c r="E30" s="17" t="s">
        <v>478</v>
      </c>
      <c r="F30" s="17" t="s">
        <v>309</v>
      </c>
      <c r="G30" s="17" t="s">
        <v>310</v>
      </c>
      <c r="H30" s="17" t="s">
        <v>311</v>
      </c>
      <c r="I30" s="51" t="s">
        <v>4</v>
      </c>
    </row>
    <row r="31" spans="1:9" ht="29" x14ac:dyDescent="0.35">
      <c r="A31" s="17" t="s">
        <v>465</v>
      </c>
      <c r="B31" s="17" t="s">
        <v>313</v>
      </c>
      <c r="C31" s="17" t="s">
        <v>223</v>
      </c>
      <c r="D31" s="17" t="s">
        <v>314</v>
      </c>
      <c r="E31" s="17" t="s">
        <v>262</v>
      </c>
      <c r="F31" s="17" t="s">
        <v>315</v>
      </c>
      <c r="G31" s="17" t="s">
        <v>316</v>
      </c>
      <c r="H31" s="17" t="s">
        <v>317</v>
      </c>
      <c r="I31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311" priority="6" operator="containsText" text="Passed">
      <formula>NOT(ISERROR(SEARCH(("Passed"),(G1))))</formula>
    </cfRule>
    <cfRule type="containsText" dxfId="310" priority="7" operator="containsText" text="Failed">
      <formula>NOT(ISERROR(SEARCH(("Failed"),(G1))))</formula>
    </cfRule>
    <cfRule type="containsText" dxfId="309" priority="8" operator="containsText" text="Incomplete">
      <formula>NOT(ISERROR(SEARCH(("Incomplete"),(G1))))</formula>
    </cfRule>
  </conditionalFormatting>
  <conditionalFormatting sqref="I6:I31">
    <cfRule type="containsText" dxfId="308" priority="1" operator="containsText" text="Passed">
      <formula>NOT(ISERROR(SEARCH(("Passed"),(I6))))</formula>
    </cfRule>
    <cfRule type="containsText" dxfId="307" priority="2" operator="containsText" text="Failed">
      <formula>NOT(ISERROR(SEARCH(("Failed"),(I6))))</formula>
    </cfRule>
    <cfRule type="containsText" dxfId="306" priority="3" operator="containsText" text="Bug ok">
      <formula>NOT(ISERROR(SEARCH(("Bug ok"),(I6))))</formula>
    </cfRule>
    <cfRule type="containsText" dxfId="305" priority="4" operator="containsText" text="Blocked">
      <formula>NOT(ISERROR(SEARCH(("Blocked"),(I6))))</formula>
    </cfRule>
    <cfRule type="containsText" dxfId="304" priority="5" operator="containsText" text="Cannot run">
      <formula>NOT(ISERROR(SEARCH(("Cannot run"),(J6))))</formula>
    </cfRule>
  </conditionalFormatting>
  <dataValidations count="1">
    <dataValidation type="list" allowBlank="1" showErrorMessage="1" sqref="I6:I31" xr:uid="{0F77D0C4-EE02-4A42-99FE-D446206C4C59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874F-374E-4584-A6D4-B9C71446B92F}">
  <dimension ref="A1:J30"/>
  <sheetViews>
    <sheetView topLeftCell="D1" workbookViewId="0">
      <selection activeCell="L10" sqref="L10"/>
    </sheetView>
  </sheetViews>
  <sheetFormatPr defaultRowHeight="14.5" x14ac:dyDescent="0.35"/>
  <cols>
    <col min="1" max="1" width="38.7265625" customWidth="1"/>
    <col min="2" max="10" width="27.1796875" customWidth="1"/>
  </cols>
  <sheetData>
    <row r="1" spans="1:10" ht="15.5" x14ac:dyDescent="0.35">
      <c r="A1" s="76"/>
      <c r="B1" s="77" t="s">
        <v>2</v>
      </c>
      <c r="C1" s="78"/>
      <c r="D1" s="79" t="s">
        <v>479</v>
      </c>
      <c r="E1" s="80"/>
      <c r="F1" s="81"/>
      <c r="G1" s="9" t="s">
        <v>52</v>
      </c>
      <c r="H1" s="10" t="s">
        <v>4</v>
      </c>
      <c r="I1" s="11" t="s">
        <v>5</v>
      </c>
      <c r="J1" s="12" t="s">
        <v>6</v>
      </c>
    </row>
    <row r="2" spans="1:10" ht="18" x14ac:dyDescent="0.35">
      <c r="A2" s="76"/>
      <c r="B2" s="77" t="s">
        <v>53</v>
      </c>
      <c r="C2" s="78"/>
      <c r="D2" s="79" t="s">
        <v>54</v>
      </c>
      <c r="E2" s="80"/>
      <c r="F2" s="82"/>
      <c r="G2" s="13">
        <f>COUNTIF(A6:A74,"TC-??")</f>
        <v>19</v>
      </c>
      <c r="H2" s="14">
        <f>COUNTIF(I4:I931,"Đạt")</f>
        <v>19</v>
      </c>
      <c r="I2" s="14">
        <f>COUNTIF(G4:G931,"Không Đạt")</f>
        <v>0</v>
      </c>
      <c r="J2" s="14">
        <f>COUNTIF(G4:G931,"Chưa Xong")</f>
        <v>0</v>
      </c>
    </row>
    <row r="3" spans="1:10" ht="18" x14ac:dyDescent="0.35">
      <c r="A3" s="76"/>
      <c r="B3" s="77" t="s">
        <v>55</v>
      </c>
      <c r="C3" s="78"/>
      <c r="D3" s="84">
        <v>45981</v>
      </c>
      <c r="E3" s="80"/>
      <c r="F3" s="83"/>
      <c r="G3" s="15">
        <f>SUM(H3+I3+J3)</f>
        <v>1</v>
      </c>
      <c r="H3" s="16">
        <f>H2/G2</f>
        <v>1</v>
      </c>
      <c r="I3" s="16">
        <f>I2/G2</f>
        <v>0</v>
      </c>
      <c r="J3" s="15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25" t="s">
        <v>64</v>
      </c>
    </row>
    <row r="6" spans="1:10" ht="43.5" x14ac:dyDescent="0.35">
      <c r="A6" s="17" t="s">
        <v>65</v>
      </c>
      <c r="B6" s="17" t="s">
        <v>480</v>
      </c>
      <c r="C6" s="17" t="s">
        <v>481</v>
      </c>
      <c r="D6" s="17" t="s">
        <v>224</v>
      </c>
      <c r="E6" s="17" t="s">
        <v>320</v>
      </c>
      <c r="F6" s="17" t="s">
        <v>482</v>
      </c>
      <c r="G6" s="17" t="s">
        <v>483</v>
      </c>
      <c r="H6" s="17" t="s">
        <v>484</v>
      </c>
      <c r="I6" s="51" t="s">
        <v>4</v>
      </c>
    </row>
    <row r="7" spans="1:10" ht="29" x14ac:dyDescent="0.35">
      <c r="A7" s="17" t="s">
        <v>72</v>
      </c>
      <c r="B7" s="17" t="s">
        <v>485</v>
      </c>
      <c r="C7" s="17" t="s">
        <v>481</v>
      </c>
      <c r="D7" s="17" t="s">
        <v>217</v>
      </c>
      <c r="E7" s="17" t="s">
        <v>486</v>
      </c>
      <c r="F7" s="17" t="s">
        <v>487</v>
      </c>
      <c r="G7" s="17" t="s">
        <v>488</v>
      </c>
      <c r="H7" s="17" t="s">
        <v>489</v>
      </c>
      <c r="I7" s="51" t="s">
        <v>4</v>
      </c>
    </row>
    <row r="8" spans="1:10" ht="43.5" x14ac:dyDescent="0.35">
      <c r="A8" s="17" t="s">
        <v>77</v>
      </c>
      <c r="B8" s="17" t="s">
        <v>490</v>
      </c>
      <c r="C8" s="17" t="s">
        <v>481</v>
      </c>
      <c r="D8" s="17" t="s">
        <v>224</v>
      </c>
      <c r="E8" s="17" t="s">
        <v>225</v>
      </c>
      <c r="F8" t="s">
        <v>491</v>
      </c>
      <c r="G8" s="17" t="s">
        <v>492</v>
      </c>
      <c r="H8" s="17" t="s">
        <v>493</v>
      </c>
      <c r="I8" s="51" t="s">
        <v>4</v>
      </c>
    </row>
    <row r="9" spans="1:10" ht="43.5" x14ac:dyDescent="0.35">
      <c r="A9" s="17" t="s">
        <v>83</v>
      </c>
      <c r="B9" s="17" t="s">
        <v>494</v>
      </c>
      <c r="C9" s="17" t="s">
        <v>481</v>
      </c>
      <c r="D9" s="17" t="s">
        <v>224</v>
      </c>
      <c r="E9" s="17" t="s">
        <v>225</v>
      </c>
      <c r="F9" t="s">
        <v>495</v>
      </c>
      <c r="G9" s="17" t="s">
        <v>496</v>
      </c>
      <c r="H9" s="17" t="s">
        <v>497</v>
      </c>
      <c r="I9" s="51" t="s">
        <v>4</v>
      </c>
    </row>
    <row r="10" spans="1:10" ht="29" x14ac:dyDescent="0.35">
      <c r="A10" s="17" t="s">
        <v>88</v>
      </c>
      <c r="B10" s="17" t="s">
        <v>498</v>
      </c>
      <c r="C10" s="17" t="s">
        <v>481</v>
      </c>
      <c r="D10" s="17" t="s">
        <v>246</v>
      </c>
      <c r="E10" s="17" t="s">
        <v>320</v>
      </c>
      <c r="F10" s="17" t="s">
        <v>499</v>
      </c>
      <c r="G10" s="17" t="s">
        <v>500</v>
      </c>
      <c r="H10" s="17" t="s">
        <v>501</v>
      </c>
      <c r="I10" s="51" t="s">
        <v>4</v>
      </c>
    </row>
    <row r="11" spans="1:10" ht="72.5" x14ac:dyDescent="0.35">
      <c r="A11" s="17" t="s">
        <v>233</v>
      </c>
      <c r="B11" s="17" t="s">
        <v>502</v>
      </c>
      <c r="C11" s="17" t="s">
        <v>481</v>
      </c>
      <c r="D11" s="17" t="s">
        <v>503</v>
      </c>
      <c r="E11" s="17" t="s">
        <v>504</v>
      </c>
      <c r="F11" s="17" t="s">
        <v>505</v>
      </c>
      <c r="G11" s="17" t="s">
        <v>506</v>
      </c>
      <c r="H11" s="17" t="s">
        <v>507</v>
      </c>
      <c r="I11" s="51" t="s">
        <v>4</v>
      </c>
    </row>
    <row r="12" spans="1:10" ht="29" x14ac:dyDescent="0.35">
      <c r="A12" s="17" t="s">
        <v>93</v>
      </c>
      <c r="B12" s="17" t="s">
        <v>508</v>
      </c>
      <c r="C12" s="17" t="s">
        <v>481</v>
      </c>
      <c r="D12" s="17" t="s">
        <v>252</v>
      </c>
      <c r="E12" s="17" t="s">
        <v>509</v>
      </c>
      <c r="F12" s="17" t="s">
        <v>510</v>
      </c>
      <c r="G12" s="17" t="s">
        <v>511</v>
      </c>
      <c r="H12" s="17" t="s">
        <v>512</v>
      </c>
      <c r="I12" s="51" t="s">
        <v>4</v>
      </c>
    </row>
    <row r="13" spans="1:10" ht="29" x14ac:dyDescent="0.35">
      <c r="A13" s="17" t="s">
        <v>98</v>
      </c>
      <c r="B13" s="17" t="s">
        <v>513</v>
      </c>
      <c r="C13" s="17" t="s">
        <v>481</v>
      </c>
      <c r="D13" s="17" t="s">
        <v>514</v>
      </c>
      <c r="E13" s="17" t="s">
        <v>515</v>
      </c>
      <c r="F13" s="17" t="s">
        <v>516</v>
      </c>
      <c r="G13" s="17" t="s">
        <v>517</v>
      </c>
      <c r="H13" s="17" t="s">
        <v>518</v>
      </c>
      <c r="I13" s="51" t="s">
        <v>4</v>
      </c>
    </row>
    <row r="14" spans="1:10" ht="29" x14ac:dyDescent="0.35">
      <c r="A14" s="17" t="s">
        <v>105</v>
      </c>
      <c r="B14" s="17" t="s">
        <v>519</v>
      </c>
      <c r="C14" s="17" t="s">
        <v>481</v>
      </c>
      <c r="D14" s="17" t="s">
        <v>520</v>
      </c>
      <c r="E14" s="17" t="s">
        <v>521</v>
      </c>
      <c r="F14" s="17" t="s">
        <v>522</v>
      </c>
      <c r="G14" s="17" t="s">
        <v>523</v>
      </c>
      <c r="H14" s="17" t="s">
        <v>524</v>
      </c>
      <c r="I14" s="51" t="s">
        <v>4</v>
      </c>
    </row>
    <row r="15" spans="1:10" ht="29" x14ac:dyDescent="0.35">
      <c r="A15" s="17" t="s">
        <v>113</v>
      </c>
      <c r="B15" s="17" t="s">
        <v>525</v>
      </c>
      <c r="C15" s="17" t="s">
        <v>481</v>
      </c>
      <c r="D15" s="17" t="s">
        <v>432</v>
      </c>
      <c r="E15" s="17" t="s">
        <v>526</v>
      </c>
      <c r="F15" s="17" t="s">
        <v>527</v>
      </c>
      <c r="G15" s="17" t="s">
        <v>528</v>
      </c>
      <c r="H15" s="17" t="s">
        <v>436</v>
      </c>
      <c r="I15" s="51" t="s">
        <v>4</v>
      </c>
    </row>
    <row r="16" spans="1:10" ht="29" x14ac:dyDescent="0.35">
      <c r="A16" s="17" t="s">
        <v>119</v>
      </c>
      <c r="B16" s="17" t="s">
        <v>529</v>
      </c>
      <c r="C16" s="17" t="s">
        <v>481</v>
      </c>
      <c r="D16" s="17" t="s">
        <v>530</v>
      </c>
      <c r="E16" s="17" t="s">
        <v>531</v>
      </c>
      <c r="F16" s="17" t="s">
        <v>532</v>
      </c>
      <c r="G16" s="17" t="s">
        <v>533</v>
      </c>
      <c r="H16" s="17" t="s">
        <v>534</v>
      </c>
      <c r="I16" s="51" t="s">
        <v>4</v>
      </c>
    </row>
    <row r="17" spans="1:9" ht="29" x14ac:dyDescent="0.35">
      <c r="A17" s="17" t="s">
        <v>125</v>
      </c>
      <c r="B17" s="17" t="s">
        <v>535</v>
      </c>
      <c r="C17" s="17" t="s">
        <v>481</v>
      </c>
      <c r="D17" s="17" t="s">
        <v>536</v>
      </c>
      <c r="E17" s="17" t="s">
        <v>537</v>
      </c>
      <c r="F17" s="17" t="s">
        <v>538</v>
      </c>
      <c r="G17" s="17" t="s">
        <v>539</v>
      </c>
      <c r="H17" s="17" t="s">
        <v>540</v>
      </c>
      <c r="I17" s="51" t="s">
        <v>4</v>
      </c>
    </row>
    <row r="18" spans="1:9" ht="29" x14ac:dyDescent="0.35">
      <c r="A18" s="17" t="s">
        <v>132</v>
      </c>
      <c r="B18" s="17" t="s">
        <v>541</v>
      </c>
      <c r="C18" s="17" t="s">
        <v>481</v>
      </c>
      <c r="D18" s="17" t="s">
        <v>542</v>
      </c>
      <c r="E18" s="17" t="s">
        <v>543</v>
      </c>
      <c r="F18" s="17" t="s">
        <v>544</v>
      </c>
      <c r="G18" s="17" t="s">
        <v>545</v>
      </c>
      <c r="H18" s="17" t="s">
        <v>546</v>
      </c>
      <c r="I18" s="51" t="s">
        <v>4</v>
      </c>
    </row>
    <row r="19" spans="1:9" ht="29" x14ac:dyDescent="0.35">
      <c r="A19" s="17" t="s">
        <v>138</v>
      </c>
      <c r="B19" s="17" t="s">
        <v>547</v>
      </c>
      <c r="C19" s="17" t="s">
        <v>481</v>
      </c>
      <c r="D19" s="17" t="s">
        <v>548</v>
      </c>
      <c r="E19" s="17" t="s">
        <v>549</v>
      </c>
      <c r="F19" s="17" t="s">
        <v>550</v>
      </c>
      <c r="G19" s="17" t="s">
        <v>551</v>
      </c>
      <c r="H19" s="17" t="s">
        <v>552</v>
      </c>
      <c r="I19" s="51" t="s">
        <v>4</v>
      </c>
    </row>
    <row r="20" spans="1:9" ht="43.5" x14ac:dyDescent="0.35">
      <c r="A20" s="17" t="s">
        <v>144</v>
      </c>
      <c r="B20" s="17" t="s">
        <v>553</v>
      </c>
      <c r="C20" s="17" t="s">
        <v>481</v>
      </c>
      <c r="D20" s="17" t="s">
        <v>548</v>
      </c>
      <c r="E20" s="17" t="s">
        <v>554</v>
      </c>
      <c r="F20" s="17" t="s">
        <v>555</v>
      </c>
      <c r="G20" s="17" t="s">
        <v>556</v>
      </c>
      <c r="H20" s="17" t="s">
        <v>557</v>
      </c>
      <c r="I20" s="51" t="s">
        <v>4</v>
      </c>
    </row>
    <row r="21" spans="1:9" ht="29" x14ac:dyDescent="0.35">
      <c r="A21" s="17" t="s">
        <v>150</v>
      </c>
      <c r="B21" s="17" t="s">
        <v>558</v>
      </c>
      <c r="C21" s="17" t="s">
        <v>481</v>
      </c>
      <c r="D21" s="17" t="s">
        <v>272</v>
      </c>
      <c r="E21" s="17" t="s">
        <v>537</v>
      </c>
      <c r="F21" s="17" t="s">
        <v>559</v>
      </c>
      <c r="G21" s="17" t="s">
        <v>560</v>
      </c>
      <c r="H21" s="17" t="s">
        <v>561</v>
      </c>
      <c r="I21" s="51" t="s">
        <v>4</v>
      </c>
    </row>
    <row r="22" spans="1:9" ht="43.5" x14ac:dyDescent="0.35">
      <c r="A22" s="17" t="s">
        <v>157</v>
      </c>
      <c r="B22" s="17" t="s">
        <v>562</v>
      </c>
      <c r="C22" s="17" t="s">
        <v>481</v>
      </c>
      <c r="D22" s="17" t="s">
        <v>294</v>
      </c>
      <c r="E22" s="17" t="s">
        <v>563</v>
      </c>
      <c r="F22" s="17" t="s">
        <v>564</v>
      </c>
      <c r="G22" s="17" t="s">
        <v>565</v>
      </c>
      <c r="H22" s="17" t="s">
        <v>566</v>
      </c>
      <c r="I22" s="51" t="s">
        <v>4</v>
      </c>
    </row>
    <row r="23" spans="1:9" ht="29" x14ac:dyDescent="0.35">
      <c r="A23" s="17" t="s">
        <v>163</v>
      </c>
      <c r="B23" s="17" t="s">
        <v>567</v>
      </c>
      <c r="C23" s="17" t="s">
        <v>481</v>
      </c>
      <c r="D23" s="17" t="s">
        <v>301</v>
      </c>
      <c r="E23" s="17" t="s">
        <v>568</v>
      </c>
      <c r="F23" s="17" t="s">
        <v>569</v>
      </c>
      <c r="G23" s="17" t="s">
        <v>570</v>
      </c>
      <c r="H23" s="17" t="s">
        <v>571</v>
      </c>
      <c r="I23" s="51" t="s">
        <v>4</v>
      </c>
    </row>
    <row r="24" spans="1:9" ht="43.5" x14ac:dyDescent="0.35">
      <c r="A24" s="17" t="s">
        <v>299</v>
      </c>
      <c r="B24" s="17" t="s">
        <v>572</v>
      </c>
      <c r="C24" s="17" t="s">
        <v>481</v>
      </c>
      <c r="D24" s="17" t="s">
        <v>294</v>
      </c>
      <c r="E24" s="17" t="s">
        <v>573</v>
      </c>
      <c r="F24" s="17" t="s">
        <v>309</v>
      </c>
      <c r="G24" s="17" t="s">
        <v>310</v>
      </c>
      <c r="H24" s="17" t="s">
        <v>311</v>
      </c>
      <c r="I24" s="51" t="s">
        <v>4</v>
      </c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  <row r="26" spans="1:9" x14ac:dyDescent="0.35">
      <c r="A26" s="17"/>
      <c r="B26" s="17"/>
      <c r="C26" s="17"/>
      <c r="D26" s="17"/>
      <c r="E26" s="17"/>
      <c r="F26" s="17"/>
      <c r="G26" s="17"/>
      <c r="H26" s="17"/>
    </row>
    <row r="27" spans="1:9" x14ac:dyDescent="0.35">
      <c r="A27" s="17"/>
      <c r="B27" s="17"/>
      <c r="C27" s="17"/>
      <c r="D27" s="17"/>
      <c r="E27" s="17"/>
      <c r="F27" s="17"/>
      <c r="G27" s="17"/>
      <c r="H27" s="17"/>
    </row>
    <row r="28" spans="1:9" x14ac:dyDescent="0.35">
      <c r="A28" s="17"/>
      <c r="B28" s="17"/>
      <c r="C28" s="17"/>
      <c r="D28" s="17"/>
      <c r="E28" s="17"/>
      <c r="F28" s="17"/>
      <c r="G28" s="17"/>
      <c r="H28" s="17"/>
    </row>
    <row r="29" spans="1:9" x14ac:dyDescent="0.35">
      <c r="A29" s="17"/>
      <c r="B29" s="17"/>
      <c r="C29" s="17"/>
      <c r="D29" s="17"/>
      <c r="E29" s="17"/>
      <c r="F29" s="17"/>
      <c r="G29" s="17"/>
      <c r="H29" s="17"/>
    </row>
    <row r="30" spans="1:9" x14ac:dyDescent="0.35">
      <c r="A30" s="17"/>
      <c r="B30" s="17"/>
      <c r="C30" s="17"/>
      <c r="D30" s="17"/>
      <c r="E30" s="17"/>
      <c r="F30" s="17"/>
      <c r="G30" s="17"/>
      <c r="H30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303" priority="11" operator="containsText" text="Passed">
      <formula>NOT(ISERROR(SEARCH(("Passed"),(G1))))</formula>
    </cfRule>
    <cfRule type="containsText" dxfId="302" priority="12" operator="containsText" text="Failed">
      <formula>NOT(ISERROR(SEARCH(("Failed"),(G1))))</formula>
    </cfRule>
    <cfRule type="containsText" dxfId="301" priority="13" operator="containsText" text="Incomplete">
      <formula>NOT(ISERROR(SEARCH(("Incomplete"),(G1))))</formula>
    </cfRule>
  </conditionalFormatting>
  <conditionalFormatting sqref="I6:I24">
    <cfRule type="containsText" dxfId="300" priority="1" operator="containsText" text="Passed">
      <formula>NOT(ISERROR(SEARCH(("Passed"),(I6))))</formula>
    </cfRule>
    <cfRule type="containsText" dxfId="299" priority="2" operator="containsText" text="Failed">
      <formula>NOT(ISERROR(SEARCH(("Failed"),(I6))))</formula>
    </cfRule>
    <cfRule type="containsText" dxfId="298" priority="3" operator="containsText" text="Bug ok">
      <formula>NOT(ISERROR(SEARCH(("Bug ok"),(I6))))</formula>
    </cfRule>
    <cfRule type="containsText" dxfId="297" priority="4" operator="containsText" text="Blocked">
      <formula>NOT(ISERROR(SEARCH(("Blocked"),(I6))))</formula>
    </cfRule>
    <cfRule type="containsText" dxfId="296" priority="5" operator="containsText" text="Cannot run">
      <formula>NOT(ISERROR(SEARCH(("Cannot run"),(J6))))</formula>
    </cfRule>
  </conditionalFormatting>
  <dataValidations count="1">
    <dataValidation type="list" allowBlank="1" showErrorMessage="1" sqref="I6:I24" xr:uid="{39D58FE5-AF84-4810-90F5-E6F6E6772ACA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5725-1675-490A-A8BD-20227B4BA48E}">
  <dimension ref="A1:J20"/>
  <sheetViews>
    <sheetView topLeftCell="D1" workbookViewId="0">
      <selection activeCell="I10" sqref="I10"/>
    </sheetView>
  </sheetViews>
  <sheetFormatPr defaultRowHeight="14.5" x14ac:dyDescent="0.35"/>
  <cols>
    <col min="1" max="1" width="39.26953125" customWidth="1"/>
    <col min="2" max="10" width="27.1796875" customWidth="1"/>
  </cols>
  <sheetData>
    <row r="1" spans="1:10" ht="15.75" customHeight="1" x14ac:dyDescent="0.35">
      <c r="A1" s="76"/>
      <c r="B1" s="89" t="s">
        <v>2</v>
      </c>
      <c r="C1" s="90"/>
      <c r="D1" s="91" t="s">
        <v>574</v>
      </c>
      <c r="E1" s="92"/>
      <c r="F1" s="93"/>
      <c r="G1" s="41" t="s">
        <v>52</v>
      </c>
      <c r="H1" s="42" t="s">
        <v>4</v>
      </c>
      <c r="I1" s="43" t="s">
        <v>5</v>
      </c>
      <c r="J1" s="44" t="s">
        <v>6</v>
      </c>
    </row>
    <row r="2" spans="1:10" ht="18" customHeight="1" x14ac:dyDescent="0.35">
      <c r="A2" s="76"/>
      <c r="B2" s="89" t="s">
        <v>53</v>
      </c>
      <c r="C2" s="90"/>
      <c r="D2" s="91" t="s">
        <v>54</v>
      </c>
      <c r="E2" s="92"/>
      <c r="F2" s="94"/>
      <c r="G2" s="45">
        <f>COUNTIF(A6:A76,"TC-??")</f>
        <v>15</v>
      </c>
      <c r="H2" s="46">
        <f>COUNTIF(I4:I932,"Đạt")</f>
        <v>15</v>
      </c>
      <c r="I2" s="46">
        <f>COUNTIF(I4:I932,"Không Đạt")</f>
        <v>0</v>
      </c>
      <c r="J2" s="46">
        <f>COUNTIF(I4:I932,"Chưa Xong")</f>
        <v>0</v>
      </c>
    </row>
    <row r="3" spans="1:10" ht="18" customHeight="1" x14ac:dyDescent="0.35">
      <c r="A3" s="76"/>
      <c r="B3" s="89" t="s">
        <v>55</v>
      </c>
      <c r="C3" s="90"/>
      <c r="D3" s="96">
        <v>46013</v>
      </c>
      <c r="E3" s="92"/>
      <c r="F3" s="95"/>
      <c r="G3" s="47">
        <f>SUM(H3+I3+J3)</f>
        <v>1</v>
      </c>
      <c r="H3" s="48">
        <f>H2/G2</f>
        <v>1</v>
      </c>
      <c r="I3" s="48">
        <f>I2/G2</f>
        <v>0</v>
      </c>
      <c r="J3" s="47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25" t="s">
        <v>64</v>
      </c>
    </row>
    <row r="6" spans="1:10" ht="43.5" x14ac:dyDescent="0.35">
      <c r="A6" s="17" t="s">
        <v>65</v>
      </c>
      <c r="B6" s="17" t="s">
        <v>575</v>
      </c>
      <c r="C6" s="17" t="s">
        <v>574</v>
      </c>
      <c r="D6" s="17" t="s">
        <v>205</v>
      </c>
      <c r="E6" s="17" t="s">
        <v>576</v>
      </c>
      <c r="F6" s="17" t="s">
        <v>577</v>
      </c>
      <c r="G6" s="17" t="s">
        <v>578</v>
      </c>
      <c r="H6" s="17" t="s">
        <v>579</v>
      </c>
      <c r="I6" s="51" t="s">
        <v>4</v>
      </c>
    </row>
    <row r="7" spans="1:10" ht="43.5" x14ac:dyDescent="0.35">
      <c r="A7" s="17" t="s">
        <v>72</v>
      </c>
      <c r="B7" s="17" t="s">
        <v>580</v>
      </c>
      <c r="C7" s="17" t="s">
        <v>574</v>
      </c>
      <c r="D7" s="17" t="s">
        <v>224</v>
      </c>
      <c r="E7" s="17" t="s">
        <v>581</v>
      </c>
      <c r="F7" s="17" t="s">
        <v>482</v>
      </c>
      <c r="G7" s="17" t="s">
        <v>582</v>
      </c>
      <c r="H7" s="17" t="s">
        <v>583</v>
      </c>
      <c r="I7" s="51" t="s">
        <v>4</v>
      </c>
    </row>
    <row r="8" spans="1:10" ht="29" x14ac:dyDescent="0.35">
      <c r="A8" s="17" t="s">
        <v>77</v>
      </c>
      <c r="B8" s="17" t="s">
        <v>584</v>
      </c>
      <c r="C8" s="17" t="s">
        <v>574</v>
      </c>
      <c r="D8" s="17" t="s">
        <v>217</v>
      </c>
      <c r="E8" s="17" t="s">
        <v>585</v>
      </c>
      <c r="F8" s="17" t="s">
        <v>487</v>
      </c>
      <c r="G8" s="17" t="s">
        <v>586</v>
      </c>
      <c r="H8" s="17" t="s">
        <v>587</v>
      </c>
      <c r="I8" s="51" t="s">
        <v>4</v>
      </c>
    </row>
    <row r="9" spans="1:10" ht="43.5" x14ac:dyDescent="0.35">
      <c r="A9" s="17" t="s">
        <v>83</v>
      </c>
      <c r="B9" s="17" t="s">
        <v>588</v>
      </c>
      <c r="C9" s="17" t="s">
        <v>223</v>
      </c>
      <c r="D9" s="17" t="s">
        <v>224</v>
      </c>
      <c r="E9" s="17" t="s">
        <v>225</v>
      </c>
      <c r="F9" t="s">
        <v>589</v>
      </c>
      <c r="G9" s="17" t="s">
        <v>590</v>
      </c>
      <c r="H9" s="17" t="s">
        <v>591</v>
      </c>
      <c r="I9" s="51" t="s">
        <v>4</v>
      </c>
    </row>
    <row r="10" spans="1:10" ht="43.5" x14ac:dyDescent="0.35">
      <c r="A10" s="17" t="s">
        <v>88</v>
      </c>
      <c r="B10" s="17" t="s">
        <v>494</v>
      </c>
      <c r="C10" s="17" t="s">
        <v>223</v>
      </c>
      <c r="D10" s="17" t="s">
        <v>224</v>
      </c>
      <c r="E10" s="17" t="s">
        <v>225</v>
      </c>
      <c r="F10" t="s">
        <v>592</v>
      </c>
      <c r="G10" s="17" t="s">
        <v>593</v>
      </c>
      <c r="H10" s="17" t="s">
        <v>591</v>
      </c>
      <c r="I10" s="51" t="s">
        <v>4</v>
      </c>
    </row>
    <row r="11" spans="1:10" ht="29" x14ac:dyDescent="0.35">
      <c r="A11" s="17" t="s">
        <v>233</v>
      </c>
      <c r="B11" s="17" t="s">
        <v>594</v>
      </c>
      <c r="C11" s="17" t="s">
        <v>574</v>
      </c>
      <c r="D11" s="17" t="s">
        <v>246</v>
      </c>
      <c r="E11" s="17" t="s">
        <v>595</v>
      </c>
      <c r="F11" s="17" t="s">
        <v>596</v>
      </c>
      <c r="G11" s="17" t="s">
        <v>597</v>
      </c>
      <c r="H11" s="17" t="s">
        <v>598</v>
      </c>
      <c r="I11" s="51" t="s">
        <v>4</v>
      </c>
    </row>
    <row r="12" spans="1:10" ht="43.5" x14ac:dyDescent="0.35">
      <c r="A12" s="17" t="s">
        <v>93</v>
      </c>
      <c r="B12" s="17" t="s">
        <v>599</v>
      </c>
      <c r="C12" s="17" t="s">
        <v>574</v>
      </c>
      <c r="D12" s="17" t="s">
        <v>503</v>
      </c>
      <c r="E12" s="17" t="s">
        <v>600</v>
      </c>
      <c r="F12" s="17" t="s">
        <v>505</v>
      </c>
      <c r="G12" s="17" t="s">
        <v>601</v>
      </c>
      <c r="H12" s="17" t="s">
        <v>602</v>
      </c>
      <c r="I12" s="51" t="s">
        <v>4</v>
      </c>
    </row>
    <row r="13" spans="1:10" ht="43.5" x14ac:dyDescent="0.35">
      <c r="A13" s="17" t="s">
        <v>98</v>
      </c>
      <c r="B13" s="17" t="s">
        <v>603</v>
      </c>
      <c r="C13" s="17" t="s">
        <v>574</v>
      </c>
      <c r="D13" s="17" t="s">
        <v>252</v>
      </c>
      <c r="E13" s="17" t="s">
        <v>604</v>
      </c>
      <c r="F13" s="17" t="s">
        <v>605</v>
      </c>
      <c r="G13" s="17" t="s">
        <v>606</v>
      </c>
      <c r="H13" s="17" t="s">
        <v>607</v>
      </c>
      <c r="I13" s="51" t="s">
        <v>4</v>
      </c>
    </row>
    <row r="14" spans="1:10" ht="29" x14ac:dyDescent="0.35">
      <c r="A14" s="17" t="s">
        <v>105</v>
      </c>
      <c r="B14" s="17" t="s">
        <v>271</v>
      </c>
      <c r="C14" s="17" t="s">
        <v>574</v>
      </c>
      <c r="D14" s="17" t="s">
        <v>272</v>
      </c>
      <c r="E14" s="17" t="s">
        <v>604</v>
      </c>
      <c r="F14" s="17" t="s">
        <v>559</v>
      </c>
      <c r="G14" s="17" t="s">
        <v>608</v>
      </c>
      <c r="H14" s="17" t="s">
        <v>609</v>
      </c>
      <c r="I14" s="51" t="s">
        <v>4</v>
      </c>
    </row>
    <row r="15" spans="1:10" ht="29" x14ac:dyDescent="0.35">
      <c r="A15" s="17" t="s">
        <v>113</v>
      </c>
      <c r="B15" s="17" t="s">
        <v>610</v>
      </c>
      <c r="C15" s="17" t="s">
        <v>574</v>
      </c>
      <c r="D15" s="17" t="s">
        <v>368</v>
      </c>
      <c r="E15" s="17" t="s">
        <v>611</v>
      </c>
      <c r="F15" s="17" t="s">
        <v>612</v>
      </c>
      <c r="G15" s="17" t="s">
        <v>613</v>
      </c>
      <c r="H15" s="17" t="s">
        <v>614</v>
      </c>
      <c r="I15" s="51" t="s">
        <v>4</v>
      </c>
    </row>
    <row r="16" spans="1:10" ht="29" x14ac:dyDescent="0.35">
      <c r="A16" s="17" t="s">
        <v>119</v>
      </c>
      <c r="B16" s="17" t="s">
        <v>615</v>
      </c>
      <c r="C16" s="17" t="s">
        <v>574</v>
      </c>
      <c r="D16" s="17" t="s">
        <v>548</v>
      </c>
      <c r="E16" s="17" t="s">
        <v>616</v>
      </c>
      <c r="F16" s="17" t="s">
        <v>617</v>
      </c>
      <c r="G16" s="17" t="s">
        <v>618</v>
      </c>
      <c r="H16" s="17" t="s">
        <v>619</v>
      </c>
      <c r="I16" s="51" t="s">
        <v>4</v>
      </c>
    </row>
    <row r="17" spans="1:9" ht="29" x14ac:dyDescent="0.35">
      <c r="A17" s="17" t="s">
        <v>125</v>
      </c>
      <c r="B17" s="17" t="s">
        <v>620</v>
      </c>
      <c r="C17" s="17" t="s">
        <v>574</v>
      </c>
      <c r="D17" s="17" t="s">
        <v>252</v>
      </c>
      <c r="E17" s="17" t="s">
        <v>621</v>
      </c>
      <c r="F17" s="17" t="s">
        <v>605</v>
      </c>
      <c r="G17" s="17" t="s">
        <v>622</v>
      </c>
      <c r="H17" s="17" t="s">
        <v>623</v>
      </c>
      <c r="I17" s="51" t="s">
        <v>4</v>
      </c>
    </row>
    <row r="18" spans="1:9" ht="43.5" x14ac:dyDescent="0.35">
      <c r="A18" s="17" t="s">
        <v>132</v>
      </c>
      <c r="B18" s="17" t="s">
        <v>624</v>
      </c>
      <c r="C18" s="17" t="s">
        <v>574</v>
      </c>
      <c r="D18" s="17" t="s">
        <v>294</v>
      </c>
      <c r="E18" s="17" t="s">
        <v>625</v>
      </c>
      <c r="F18" s="17" t="s">
        <v>564</v>
      </c>
      <c r="G18" s="17" t="s">
        <v>565</v>
      </c>
      <c r="H18" s="17" t="s">
        <v>626</v>
      </c>
      <c r="I18" s="51" t="s">
        <v>4</v>
      </c>
    </row>
    <row r="19" spans="1:9" ht="29" x14ac:dyDescent="0.35">
      <c r="A19" s="17" t="s">
        <v>138</v>
      </c>
      <c r="B19" s="17" t="s">
        <v>567</v>
      </c>
      <c r="C19" s="17" t="s">
        <v>574</v>
      </c>
      <c r="D19" s="17" t="s">
        <v>301</v>
      </c>
      <c r="E19" s="17" t="s">
        <v>568</v>
      </c>
      <c r="F19" s="17" t="s">
        <v>569</v>
      </c>
      <c r="G19" s="17" t="s">
        <v>570</v>
      </c>
      <c r="H19" s="17" t="s">
        <v>571</v>
      </c>
      <c r="I19" s="51" t="s">
        <v>4</v>
      </c>
    </row>
    <row r="20" spans="1:9" ht="43.5" x14ac:dyDescent="0.35">
      <c r="A20" s="17" t="s">
        <v>144</v>
      </c>
      <c r="B20" s="17" t="s">
        <v>627</v>
      </c>
      <c r="C20" s="17" t="s">
        <v>204</v>
      </c>
      <c r="D20" s="17" t="s">
        <v>294</v>
      </c>
      <c r="E20" s="17" t="s">
        <v>628</v>
      </c>
      <c r="F20" s="17" t="s">
        <v>309</v>
      </c>
      <c r="G20" s="17" t="s">
        <v>310</v>
      </c>
      <c r="H20" s="17" t="s">
        <v>311</v>
      </c>
      <c r="I20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95" priority="6" operator="containsText" text="Passed">
      <formula>NOT(ISERROR(SEARCH(("Passed"),(G1))))</formula>
    </cfRule>
    <cfRule type="containsText" dxfId="294" priority="7" operator="containsText" text="Failed">
      <formula>NOT(ISERROR(SEARCH(("Failed"),(G1))))</formula>
    </cfRule>
    <cfRule type="containsText" dxfId="293" priority="8" operator="containsText" text="Incomplete">
      <formula>NOT(ISERROR(SEARCH(("Incomplete"),(G1))))</formula>
    </cfRule>
  </conditionalFormatting>
  <conditionalFormatting sqref="I6:I20">
    <cfRule type="containsText" dxfId="292" priority="1" operator="containsText" text="Passed">
      <formula>NOT(ISERROR(SEARCH(("Passed"),(I6))))</formula>
    </cfRule>
    <cfRule type="containsText" dxfId="291" priority="2" operator="containsText" text="Failed">
      <formula>NOT(ISERROR(SEARCH(("Failed"),(I6))))</formula>
    </cfRule>
    <cfRule type="containsText" dxfId="290" priority="3" operator="containsText" text="Bug ok">
      <formula>NOT(ISERROR(SEARCH(("Bug ok"),(I6))))</formula>
    </cfRule>
    <cfRule type="containsText" dxfId="289" priority="4" operator="containsText" text="Blocked">
      <formula>NOT(ISERROR(SEARCH(("Blocked"),(I6))))</formula>
    </cfRule>
    <cfRule type="containsText" dxfId="288" priority="5" operator="containsText" text="Cannot run">
      <formula>NOT(ISERROR(SEARCH(("Cannot run"),(J6))))</formula>
    </cfRule>
  </conditionalFormatting>
  <dataValidations count="1">
    <dataValidation type="list" allowBlank="1" showErrorMessage="1" sqref="I6:I20" xr:uid="{D378B794-B534-4474-A0D6-163864100BDE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DA3D-771D-4211-A319-2C75A9B3733F}">
  <dimension ref="A1:J22"/>
  <sheetViews>
    <sheetView topLeftCell="D1" workbookViewId="0">
      <selection activeCell="J9" sqref="J9"/>
    </sheetView>
  </sheetViews>
  <sheetFormatPr defaultRowHeight="14.5" x14ac:dyDescent="0.35"/>
  <cols>
    <col min="1" max="1" width="39.1796875" customWidth="1"/>
    <col min="2" max="10" width="27.453125" customWidth="1"/>
  </cols>
  <sheetData>
    <row r="1" spans="1:10" ht="15.5" x14ac:dyDescent="0.35">
      <c r="A1" s="76"/>
      <c r="B1" s="85" t="s">
        <v>2</v>
      </c>
      <c r="C1" s="78"/>
      <c r="D1" s="86" t="s">
        <v>629</v>
      </c>
      <c r="E1" s="80"/>
      <c r="F1" s="87"/>
      <c r="G1" s="18" t="s">
        <v>52</v>
      </c>
      <c r="H1" s="19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COUNTIF(A6:A74,"TC-??")</f>
        <v>16</v>
      </c>
      <c r="H2" s="6">
        <f>COUNTIF(I4:I931,"Đạt")</f>
        <v>16</v>
      </c>
      <c r="I2" s="6">
        <f>COUNTIF(G4:G931,"Không Đạt")</f>
        <v>0</v>
      </c>
      <c r="J2" s="6">
        <f>COUNTIF(G4:G931,"Chưa Xong")</f>
        <v>0</v>
      </c>
    </row>
    <row r="3" spans="1:10" ht="18" x14ac:dyDescent="0.35">
      <c r="A3" s="76"/>
      <c r="B3" s="85" t="s">
        <v>55</v>
      </c>
      <c r="C3" s="78"/>
      <c r="D3" s="88">
        <v>45981</v>
      </c>
      <c r="E3" s="80"/>
      <c r="F3" s="83"/>
      <c r="G3" s="23">
        <f>SUM(H3+I3+J3)</f>
        <v>1</v>
      </c>
      <c r="H3" s="24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8" t="s">
        <v>56</v>
      </c>
      <c r="B5" s="28" t="s">
        <v>202</v>
      </c>
      <c r="C5" s="28" t="s">
        <v>58</v>
      </c>
      <c r="D5" s="28" t="s">
        <v>59</v>
      </c>
      <c r="E5" s="28" t="s">
        <v>60</v>
      </c>
      <c r="F5" s="28" t="s">
        <v>61</v>
      </c>
      <c r="G5" s="28" t="s">
        <v>62</v>
      </c>
      <c r="H5" s="28" t="s">
        <v>63</v>
      </c>
      <c r="I5" s="30" t="s">
        <v>64</v>
      </c>
    </row>
    <row r="6" spans="1:10" ht="43.5" x14ac:dyDescent="0.35">
      <c r="A6" s="17" t="s">
        <v>65</v>
      </c>
      <c r="B6" s="17" t="s">
        <v>630</v>
      </c>
      <c r="C6" s="17" t="s">
        <v>14</v>
      </c>
      <c r="D6" s="17" t="s">
        <v>205</v>
      </c>
      <c r="E6" s="17" t="s">
        <v>206</v>
      </c>
      <c r="F6" s="17" t="s">
        <v>631</v>
      </c>
      <c r="G6" s="17" t="s">
        <v>632</v>
      </c>
      <c r="H6" s="17" t="s">
        <v>633</v>
      </c>
      <c r="I6" s="31" t="s">
        <v>4</v>
      </c>
    </row>
    <row r="7" spans="1:10" ht="29" x14ac:dyDescent="0.35">
      <c r="A7" s="17" t="s">
        <v>72</v>
      </c>
      <c r="B7" s="17" t="s">
        <v>634</v>
      </c>
      <c r="C7" s="17" t="s">
        <v>14</v>
      </c>
      <c r="D7" s="17" t="s">
        <v>224</v>
      </c>
      <c r="E7" s="17" t="s">
        <v>225</v>
      </c>
      <c r="F7" s="17" t="s">
        <v>635</v>
      </c>
      <c r="G7" s="17" t="s">
        <v>214</v>
      </c>
      <c r="H7" s="17" t="s">
        <v>636</v>
      </c>
      <c r="I7" s="31" t="s">
        <v>4</v>
      </c>
    </row>
    <row r="8" spans="1:10" ht="29" x14ac:dyDescent="0.35">
      <c r="A8" s="17" t="s">
        <v>77</v>
      </c>
      <c r="B8" s="17" t="s">
        <v>637</v>
      </c>
      <c r="C8" s="17" t="s">
        <v>14</v>
      </c>
      <c r="D8" s="17" t="s">
        <v>217</v>
      </c>
      <c r="E8" s="17" t="s">
        <v>638</v>
      </c>
      <c r="F8" s="17" t="s">
        <v>639</v>
      </c>
      <c r="G8" s="17" t="s">
        <v>331</v>
      </c>
      <c r="H8" s="17" t="s">
        <v>640</v>
      </c>
      <c r="I8" s="31" t="s">
        <v>4</v>
      </c>
    </row>
    <row r="9" spans="1:10" ht="29" x14ac:dyDescent="0.35">
      <c r="A9" s="17" t="s">
        <v>83</v>
      </c>
      <c r="B9" s="17" t="s">
        <v>234</v>
      </c>
      <c r="C9" s="17" t="s">
        <v>14</v>
      </c>
      <c r="D9" s="17" t="s">
        <v>235</v>
      </c>
      <c r="E9" s="17" t="s">
        <v>236</v>
      </c>
      <c r="F9" s="17" t="s">
        <v>408</v>
      </c>
      <c r="G9" s="17" t="s">
        <v>238</v>
      </c>
      <c r="H9" s="17" t="s">
        <v>641</v>
      </c>
      <c r="I9" s="31" t="s">
        <v>4</v>
      </c>
    </row>
    <row r="10" spans="1:10" ht="29" x14ac:dyDescent="0.35">
      <c r="A10" s="17" t="s">
        <v>88</v>
      </c>
      <c r="B10" s="17" t="s">
        <v>642</v>
      </c>
      <c r="C10" s="17" t="s">
        <v>14</v>
      </c>
      <c r="D10" s="17" t="s">
        <v>241</v>
      </c>
      <c r="E10" s="17" t="s">
        <v>225</v>
      </c>
      <c r="F10" s="17" t="s">
        <v>643</v>
      </c>
      <c r="G10" s="17" t="s">
        <v>644</v>
      </c>
      <c r="H10" s="17" t="s">
        <v>645</v>
      </c>
      <c r="I10" s="31" t="s">
        <v>4</v>
      </c>
    </row>
    <row r="11" spans="1:10" ht="43.5" x14ac:dyDescent="0.35">
      <c r="A11" s="17" t="s">
        <v>233</v>
      </c>
      <c r="B11" s="17" t="s">
        <v>646</v>
      </c>
      <c r="C11" s="17" t="s">
        <v>14</v>
      </c>
      <c r="D11" s="17" t="s">
        <v>246</v>
      </c>
      <c r="E11" s="17" t="s">
        <v>349</v>
      </c>
      <c r="F11" s="17" t="s">
        <v>647</v>
      </c>
      <c r="G11" s="17" t="s">
        <v>648</v>
      </c>
      <c r="H11" s="17" t="s">
        <v>649</v>
      </c>
      <c r="I11" s="31" t="s">
        <v>4</v>
      </c>
    </row>
    <row r="12" spans="1:10" ht="29" x14ac:dyDescent="0.35">
      <c r="A12" s="17" t="s">
        <v>93</v>
      </c>
      <c r="B12" s="17" t="s">
        <v>650</v>
      </c>
      <c r="C12" s="17" t="s">
        <v>14</v>
      </c>
      <c r="D12" s="17" t="s">
        <v>252</v>
      </c>
      <c r="E12" s="17" t="s">
        <v>349</v>
      </c>
      <c r="F12" s="17" t="s">
        <v>354</v>
      </c>
      <c r="G12" s="17" t="s">
        <v>651</v>
      </c>
      <c r="H12" s="17" t="s">
        <v>652</v>
      </c>
      <c r="I12" s="31" t="s">
        <v>4</v>
      </c>
    </row>
    <row r="13" spans="1:10" ht="43.5" x14ac:dyDescent="0.35">
      <c r="A13" s="17" t="s">
        <v>98</v>
      </c>
      <c r="B13" s="17" t="s">
        <v>653</v>
      </c>
      <c r="C13" s="17" t="s">
        <v>14</v>
      </c>
      <c r="D13" s="17" t="s">
        <v>252</v>
      </c>
      <c r="E13" s="17" t="s">
        <v>349</v>
      </c>
      <c r="F13" s="17" t="s">
        <v>354</v>
      </c>
      <c r="G13" s="33" t="s">
        <v>654</v>
      </c>
      <c r="H13" s="17" t="s">
        <v>655</v>
      </c>
      <c r="I13" s="31" t="s">
        <v>4</v>
      </c>
    </row>
    <row r="14" spans="1:10" ht="29" x14ac:dyDescent="0.35">
      <c r="A14" s="17" t="s">
        <v>105</v>
      </c>
      <c r="B14" s="17" t="s">
        <v>271</v>
      </c>
      <c r="C14" s="17" t="s">
        <v>14</v>
      </c>
      <c r="D14" s="17" t="s">
        <v>272</v>
      </c>
      <c r="E14" s="17" t="s">
        <v>349</v>
      </c>
      <c r="F14" s="17" t="s">
        <v>361</v>
      </c>
      <c r="G14" s="17" t="s">
        <v>274</v>
      </c>
      <c r="H14" s="17" t="s">
        <v>656</v>
      </c>
      <c r="I14" s="31" t="s">
        <v>4</v>
      </c>
    </row>
    <row r="15" spans="1:10" ht="29" x14ac:dyDescent="0.35">
      <c r="A15" s="17" t="s">
        <v>113</v>
      </c>
      <c r="B15" s="17" t="s">
        <v>657</v>
      </c>
      <c r="C15" s="17" t="s">
        <v>14</v>
      </c>
      <c r="D15" s="17" t="s">
        <v>277</v>
      </c>
      <c r="E15" s="17" t="s">
        <v>658</v>
      </c>
      <c r="F15" s="17" t="s">
        <v>461</v>
      </c>
      <c r="G15" s="17" t="s">
        <v>280</v>
      </c>
      <c r="H15" s="17" t="s">
        <v>659</v>
      </c>
      <c r="I15" s="31" t="s">
        <v>4</v>
      </c>
    </row>
    <row r="16" spans="1:10" ht="29" x14ac:dyDescent="0.35">
      <c r="A16" s="17" t="s">
        <v>119</v>
      </c>
      <c r="B16" s="17" t="s">
        <v>660</v>
      </c>
      <c r="C16" s="17" t="s">
        <v>14</v>
      </c>
      <c r="D16" s="17" t="s">
        <v>368</v>
      </c>
      <c r="E16" s="17" t="s">
        <v>283</v>
      </c>
      <c r="F16" s="17" t="s">
        <v>369</v>
      </c>
      <c r="G16" s="33" t="s">
        <v>661</v>
      </c>
      <c r="H16" s="17" t="s">
        <v>662</v>
      </c>
      <c r="I16" s="31" t="s">
        <v>4</v>
      </c>
    </row>
    <row r="17" spans="1:9" ht="43.5" x14ac:dyDescent="0.35">
      <c r="A17" s="17" t="s">
        <v>125</v>
      </c>
      <c r="B17" s="17" t="s">
        <v>663</v>
      </c>
      <c r="C17" s="17" t="s">
        <v>14</v>
      </c>
      <c r="D17" s="17" t="s">
        <v>252</v>
      </c>
      <c r="E17" s="17" t="s">
        <v>283</v>
      </c>
      <c r="F17" s="17" t="s">
        <v>354</v>
      </c>
      <c r="G17" s="33" t="s">
        <v>664</v>
      </c>
      <c r="H17" s="17" t="s">
        <v>655</v>
      </c>
      <c r="I17" s="31" t="s">
        <v>4</v>
      </c>
    </row>
    <row r="18" spans="1:9" ht="29" x14ac:dyDescent="0.35">
      <c r="A18" s="17" t="s">
        <v>132</v>
      </c>
      <c r="B18" s="17" t="s">
        <v>665</v>
      </c>
      <c r="C18" s="17" t="s">
        <v>14</v>
      </c>
      <c r="D18" s="17" t="s">
        <v>467</v>
      </c>
      <c r="E18" s="17" t="s">
        <v>283</v>
      </c>
      <c r="F18" s="17" t="s">
        <v>468</v>
      </c>
      <c r="G18" s="17" t="s">
        <v>666</v>
      </c>
      <c r="H18" s="17" t="s">
        <v>667</v>
      </c>
      <c r="I18" s="31" t="s">
        <v>4</v>
      </c>
    </row>
    <row r="19" spans="1:9" ht="29" x14ac:dyDescent="0.35">
      <c r="A19" s="17" t="s">
        <v>138</v>
      </c>
      <c r="B19" s="17" t="s">
        <v>668</v>
      </c>
      <c r="C19" s="17" t="s">
        <v>14</v>
      </c>
      <c r="D19" s="17" t="s">
        <v>294</v>
      </c>
      <c r="E19" s="17" t="s">
        <v>669</v>
      </c>
      <c r="F19" s="17" t="s">
        <v>296</v>
      </c>
      <c r="G19" s="17" t="s">
        <v>670</v>
      </c>
      <c r="H19" s="17" t="s">
        <v>671</v>
      </c>
      <c r="I19" s="31" t="s">
        <v>4</v>
      </c>
    </row>
    <row r="20" spans="1:9" ht="43.5" x14ac:dyDescent="0.35">
      <c r="A20" s="17" t="s">
        <v>144</v>
      </c>
      <c r="B20" s="17" t="s">
        <v>672</v>
      </c>
      <c r="C20" s="17" t="s">
        <v>14</v>
      </c>
      <c r="D20" s="17" t="s">
        <v>673</v>
      </c>
      <c r="E20" s="17" t="s">
        <v>674</v>
      </c>
      <c r="F20" s="17" t="s">
        <v>309</v>
      </c>
      <c r="G20" s="17" t="s">
        <v>675</v>
      </c>
      <c r="H20" s="17" t="s">
        <v>311</v>
      </c>
      <c r="I20" s="31" t="s">
        <v>4</v>
      </c>
    </row>
    <row r="21" spans="1:9" ht="29" x14ac:dyDescent="0.35">
      <c r="A21" s="17" t="s">
        <v>150</v>
      </c>
      <c r="B21" s="17" t="s">
        <v>313</v>
      </c>
      <c r="C21" s="17" t="s">
        <v>14</v>
      </c>
      <c r="D21" s="17" t="s">
        <v>314</v>
      </c>
      <c r="E21" s="17" t="s">
        <v>676</v>
      </c>
      <c r="F21" s="17" t="s">
        <v>677</v>
      </c>
      <c r="G21" s="17" t="s">
        <v>316</v>
      </c>
      <c r="H21" s="17" t="s">
        <v>678</v>
      </c>
      <c r="I21" s="31" t="s">
        <v>4</v>
      </c>
    </row>
    <row r="22" spans="1:9" x14ac:dyDescent="0.35">
      <c r="A22" s="17"/>
      <c r="B22" s="17"/>
      <c r="C22" s="17"/>
      <c r="D22" s="17"/>
      <c r="E22" s="17"/>
      <c r="F22" s="17"/>
      <c r="G22" s="17"/>
      <c r="H22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87" priority="6" operator="containsText" text="Passed">
      <formula>NOT(ISERROR(SEARCH(("Passed"),(G1))))</formula>
    </cfRule>
    <cfRule type="containsText" dxfId="286" priority="7" operator="containsText" text="Failed">
      <formula>NOT(ISERROR(SEARCH(("Failed"),(G1))))</formula>
    </cfRule>
    <cfRule type="containsText" dxfId="285" priority="8" operator="containsText" text="Incomplete">
      <formula>NOT(ISERROR(SEARCH(("Incomplete"),(G1))))</formula>
    </cfRule>
  </conditionalFormatting>
  <conditionalFormatting sqref="I6:I21">
    <cfRule type="containsText" dxfId="284" priority="1" operator="containsText" text="Passed">
      <formula>NOT(ISERROR(SEARCH(("Passed"),(I6))))</formula>
    </cfRule>
    <cfRule type="containsText" dxfId="283" priority="2" operator="containsText" text="Failed">
      <formula>NOT(ISERROR(SEARCH(("Failed"),(I6))))</formula>
    </cfRule>
    <cfRule type="containsText" dxfId="282" priority="3" operator="containsText" text="Bug ok">
      <formula>NOT(ISERROR(SEARCH(("Bug ok"),(I6))))</formula>
    </cfRule>
    <cfRule type="containsText" dxfId="281" priority="4" operator="containsText" text="Blocked">
      <formula>NOT(ISERROR(SEARCH(("Blocked"),(I6))))</formula>
    </cfRule>
    <cfRule type="containsText" dxfId="280" priority="5" operator="containsText" text="Cannot run">
      <formula>NOT(ISERROR(SEARCH(("Cannot run"),(J6))))</formula>
    </cfRule>
  </conditionalFormatting>
  <dataValidations count="1">
    <dataValidation type="list" allowBlank="1" showErrorMessage="1" sqref="I6:I21" xr:uid="{3E251BB6-96F2-4C0C-A8D4-4A3520F52266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0F57-1935-44D7-8546-E0F0070F7CB3}">
  <dimension ref="A1:J39"/>
  <sheetViews>
    <sheetView workbookViewId="0">
      <selection sqref="A1:A3"/>
    </sheetView>
  </sheetViews>
  <sheetFormatPr defaultRowHeight="14.5" x14ac:dyDescent="0.35"/>
  <cols>
    <col min="1" max="1" width="38.7265625" customWidth="1"/>
    <col min="2" max="7" width="27.453125" customWidth="1"/>
    <col min="8" max="8" width="36" style="17" customWidth="1"/>
    <col min="9" max="9" width="47.54296875" customWidth="1"/>
    <col min="10" max="10" width="27.453125" customWidth="1"/>
  </cols>
  <sheetData>
    <row r="1" spans="1:10" ht="15.5" x14ac:dyDescent="0.35">
      <c r="A1" s="76"/>
      <c r="B1" s="85" t="s">
        <v>2</v>
      </c>
      <c r="C1" s="78"/>
      <c r="D1" s="86" t="s">
        <v>679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COUNTIF(A6:A89,"TC-??")</f>
        <v>34</v>
      </c>
      <c r="H2" s="14">
        <f>COUNTIF(I4:I946,"Đạt")</f>
        <v>34</v>
      </c>
      <c r="I2" s="6">
        <f>COUNTIF(G4:G946,"Không Đạt")</f>
        <v>0</v>
      </c>
      <c r="J2" s="6">
        <f>COUNTIF(G4:G946,"Chưa Xong")</f>
        <v>0</v>
      </c>
    </row>
    <row r="3" spans="1:10" ht="18" x14ac:dyDescent="0.35">
      <c r="A3" s="76"/>
      <c r="B3" s="85" t="s">
        <v>55</v>
      </c>
      <c r="C3" s="78"/>
      <c r="D3" s="88">
        <v>45982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680</v>
      </c>
      <c r="C6" s="17" t="s">
        <v>681</v>
      </c>
      <c r="D6" s="17" t="s">
        <v>205</v>
      </c>
      <c r="E6" s="17" t="s">
        <v>206</v>
      </c>
      <c r="F6" s="17" t="s">
        <v>631</v>
      </c>
      <c r="G6" s="17" t="s">
        <v>682</v>
      </c>
      <c r="H6" s="17" t="s">
        <v>683</v>
      </c>
      <c r="I6" s="31" t="s">
        <v>4</v>
      </c>
    </row>
    <row r="7" spans="1:10" ht="43.5" x14ac:dyDescent="0.35">
      <c r="A7" s="17" t="s">
        <v>72</v>
      </c>
      <c r="B7" s="17" t="s">
        <v>684</v>
      </c>
      <c r="C7" s="17" t="s">
        <v>681</v>
      </c>
      <c r="D7" s="17" t="s">
        <v>224</v>
      </c>
      <c r="E7" s="17" t="s">
        <v>225</v>
      </c>
      <c r="F7" s="17" t="s">
        <v>685</v>
      </c>
      <c r="G7" s="17" t="s">
        <v>214</v>
      </c>
      <c r="H7" s="17" t="s">
        <v>686</v>
      </c>
      <c r="I7" s="31" t="s">
        <v>4</v>
      </c>
    </row>
    <row r="8" spans="1:10" ht="43.5" x14ac:dyDescent="0.35">
      <c r="A8" s="17" t="s">
        <v>77</v>
      </c>
      <c r="B8" s="17" t="s">
        <v>687</v>
      </c>
      <c r="C8" s="17" t="s">
        <v>681</v>
      </c>
      <c r="D8" s="17" t="s">
        <v>217</v>
      </c>
      <c r="E8" s="17" t="s">
        <v>688</v>
      </c>
      <c r="F8" s="17" t="s">
        <v>689</v>
      </c>
      <c r="G8" s="17" t="s">
        <v>690</v>
      </c>
      <c r="H8" s="17" t="s">
        <v>691</v>
      </c>
      <c r="I8" s="31" t="s">
        <v>4</v>
      </c>
    </row>
    <row r="9" spans="1:10" ht="43.5" x14ac:dyDescent="0.35">
      <c r="A9" s="17" t="s">
        <v>83</v>
      </c>
      <c r="B9" s="17" t="s">
        <v>692</v>
      </c>
      <c r="C9" s="17" t="s">
        <v>681</v>
      </c>
      <c r="D9" s="17" t="s">
        <v>235</v>
      </c>
      <c r="E9" s="17" t="s">
        <v>236</v>
      </c>
      <c r="F9" s="17" t="s">
        <v>408</v>
      </c>
      <c r="G9" s="17" t="s">
        <v>238</v>
      </c>
      <c r="H9" s="17" t="s">
        <v>641</v>
      </c>
      <c r="I9" s="31" t="s">
        <v>4</v>
      </c>
    </row>
    <row r="10" spans="1:10" ht="58" x14ac:dyDescent="0.35">
      <c r="A10" s="17" t="s">
        <v>88</v>
      </c>
      <c r="B10" s="17" t="s">
        <v>693</v>
      </c>
      <c r="C10" s="17" t="s">
        <v>681</v>
      </c>
      <c r="D10" s="17" t="s">
        <v>224</v>
      </c>
      <c r="E10" s="17" t="s">
        <v>225</v>
      </c>
      <c r="F10" t="s">
        <v>694</v>
      </c>
      <c r="G10" s="17" t="s">
        <v>695</v>
      </c>
      <c r="H10" s="17" t="s">
        <v>696</v>
      </c>
      <c r="I10" s="31" t="s">
        <v>4</v>
      </c>
    </row>
    <row r="11" spans="1:10" ht="58" x14ac:dyDescent="0.35">
      <c r="A11" s="17" t="s">
        <v>233</v>
      </c>
      <c r="B11" s="17" t="s">
        <v>697</v>
      </c>
      <c r="C11" s="17" t="s">
        <v>681</v>
      </c>
      <c r="D11" s="17" t="s">
        <v>224</v>
      </c>
      <c r="E11" s="17" t="s">
        <v>225</v>
      </c>
      <c r="F11" t="s">
        <v>230</v>
      </c>
      <c r="G11" s="17" t="s">
        <v>698</v>
      </c>
      <c r="H11" s="17" t="s">
        <v>699</v>
      </c>
      <c r="I11" s="31" t="s">
        <v>4</v>
      </c>
    </row>
    <row r="12" spans="1:10" ht="43.5" x14ac:dyDescent="0.35">
      <c r="A12" s="17" t="s">
        <v>93</v>
      </c>
      <c r="B12" s="17" t="s">
        <v>700</v>
      </c>
      <c r="C12" s="17" t="s">
        <v>681</v>
      </c>
      <c r="D12" s="17" t="s">
        <v>241</v>
      </c>
      <c r="E12" s="17" t="s">
        <v>225</v>
      </c>
      <c r="F12" s="17" t="s">
        <v>643</v>
      </c>
      <c r="G12" s="17" t="s">
        <v>701</v>
      </c>
      <c r="H12" s="40" t="s">
        <v>702</v>
      </c>
      <c r="I12" s="31" t="s">
        <v>4</v>
      </c>
    </row>
    <row r="13" spans="1:10" ht="72.5" x14ac:dyDescent="0.35">
      <c r="A13" s="17" t="s">
        <v>98</v>
      </c>
      <c r="B13" s="17" t="s">
        <v>703</v>
      </c>
      <c r="C13" s="17" t="s">
        <v>681</v>
      </c>
      <c r="D13" s="17" t="s">
        <v>246</v>
      </c>
      <c r="E13" s="17" t="s">
        <v>349</v>
      </c>
      <c r="F13" s="17" t="s">
        <v>704</v>
      </c>
      <c r="G13" s="33" t="s">
        <v>705</v>
      </c>
      <c r="H13" s="17" t="s">
        <v>706</v>
      </c>
      <c r="I13" s="31" t="s">
        <v>4</v>
      </c>
    </row>
    <row r="14" spans="1:10" ht="43.5" x14ac:dyDescent="0.35">
      <c r="A14" s="17" t="s">
        <v>105</v>
      </c>
      <c r="B14" s="17" t="s">
        <v>707</v>
      </c>
      <c r="C14" s="17" t="s">
        <v>681</v>
      </c>
      <c r="D14" s="17" t="s">
        <v>252</v>
      </c>
      <c r="E14" s="17" t="s">
        <v>349</v>
      </c>
      <c r="F14" s="17" t="s">
        <v>354</v>
      </c>
      <c r="G14" s="17" t="s">
        <v>708</v>
      </c>
      <c r="H14" s="17" t="s">
        <v>709</v>
      </c>
      <c r="I14" s="31" t="s">
        <v>4</v>
      </c>
    </row>
    <row r="15" spans="1:10" ht="43.5" x14ac:dyDescent="0.35">
      <c r="A15" s="17" t="s">
        <v>113</v>
      </c>
      <c r="B15" s="17" t="s">
        <v>710</v>
      </c>
      <c r="C15" s="17" t="s">
        <v>681</v>
      </c>
      <c r="D15" s="17" t="s">
        <v>252</v>
      </c>
      <c r="E15" s="17" t="s">
        <v>349</v>
      </c>
      <c r="F15" s="17" t="s">
        <v>354</v>
      </c>
      <c r="G15" s="33" t="s">
        <v>711</v>
      </c>
      <c r="H15" s="17" t="s">
        <v>712</v>
      </c>
      <c r="I15" s="31" t="s">
        <v>4</v>
      </c>
    </row>
    <row r="16" spans="1:10" ht="43.5" x14ac:dyDescent="0.35">
      <c r="A16" s="17" t="s">
        <v>119</v>
      </c>
      <c r="B16" s="17" t="s">
        <v>713</v>
      </c>
      <c r="C16" s="17" t="s">
        <v>681</v>
      </c>
      <c r="D16" s="17" t="s">
        <v>252</v>
      </c>
      <c r="E16" s="17" t="s">
        <v>349</v>
      </c>
      <c r="F16" s="17" t="s">
        <v>354</v>
      </c>
      <c r="G16" s="17" t="s">
        <v>714</v>
      </c>
      <c r="H16" s="17" t="s">
        <v>715</v>
      </c>
      <c r="I16" s="31" t="s">
        <v>4</v>
      </c>
    </row>
    <row r="17" spans="1:9" ht="43.5" x14ac:dyDescent="0.35">
      <c r="A17" s="17" t="s">
        <v>125</v>
      </c>
      <c r="B17" s="17" t="s">
        <v>716</v>
      </c>
      <c r="C17" s="17" t="s">
        <v>681</v>
      </c>
      <c r="D17" s="17" t="s">
        <v>252</v>
      </c>
      <c r="E17" s="17" t="s">
        <v>349</v>
      </c>
      <c r="F17" s="17" t="s">
        <v>354</v>
      </c>
      <c r="G17" s="40" t="s">
        <v>717</v>
      </c>
      <c r="H17" s="17" t="s">
        <v>718</v>
      </c>
      <c r="I17" s="31" t="s">
        <v>4</v>
      </c>
    </row>
    <row r="18" spans="1:9" ht="43.5" x14ac:dyDescent="0.35">
      <c r="A18" s="17" t="s">
        <v>132</v>
      </c>
      <c r="B18" s="17" t="s">
        <v>719</v>
      </c>
      <c r="C18" s="17" t="s">
        <v>681</v>
      </c>
      <c r="D18" s="17" t="s">
        <v>252</v>
      </c>
      <c r="E18" s="17" t="s">
        <v>349</v>
      </c>
      <c r="F18" s="17" t="s">
        <v>720</v>
      </c>
      <c r="G18" s="40" t="s">
        <v>721</v>
      </c>
      <c r="H18" s="17" t="s">
        <v>722</v>
      </c>
      <c r="I18" s="31" t="s">
        <v>4</v>
      </c>
    </row>
    <row r="19" spans="1:9" ht="43.5" x14ac:dyDescent="0.35">
      <c r="A19" s="17" t="s">
        <v>138</v>
      </c>
      <c r="B19" s="17" t="s">
        <v>723</v>
      </c>
      <c r="C19" s="17" t="s">
        <v>681</v>
      </c>
      <c r="D19" s="17" t="s">
        <v>252</v>
      </c>
      <c r="E19" s="17" t="s">
        <v>349</v>
      </c>
      <c r="F19" s="17" t="s">
        <v>354</v>
      </c>
      <c r="G19" s="40" t="s">
        <v>724</v>
      </c>
      <c r="H19" s="17" t="s">
        <v>725</v>
      </c>
      <c r="I19" s="31" t="s">
        <v>4</v>
      </c>
    </row>
    <row r="20" spans="1:9" ht="58" x14ac:dyDescent="0.35">
      <c r="A20" s="17" t="s">
        <v>144</v>
      </c>
      <c r="B20" s="17" t="s">
        <v>726</v>
      </c>
      <c r="C20" s="17" t="s">
        <v>681</v>
      </c>
      <c r="D20" s="17" t="s">
        <v>252</v>
      </c>
      <c r="E20" s="17" t="s">
        <v>349</v>
      </c>
      <c r="F20" s="17" t="s">
        <v>727</v>
      </c>
      <c r="G20" s="40" t="s">
        <v>728</v>
      </c>
      <c r="H20" s="17" t="s">
        <v>729</v>
      </c>
      <c r="I20" s="31" t="s">
        <v>4</v>
      </c>
    </row>
    <row r="21" spans="1:9" ht="58" x14ac:dyDescent="0.35">
      <c r="A21" s="17" t="s">
        <v>150</v>
      </c>
      <c r="B21" s="17" t="s">
        <v>730</v>
      </c>
      <c r="C21" s="17" t="s">
        <v>681</v>
      </c>
      <c r="D21" s="17" t="s">
        <v>252</v>
      </c>
      <c r="E21" s="17" t="s">
        <v>349</v>
      </c>
      <c r="F21" s="17" t="s">
        <v>731</v>
      </c>
      <c r="G21" s="40" t="s">
        <v>732</v>
      </c>
      <c r="H21" s="17" t="s">
        <v>733</v>
      </c>
      <c r="I21" s="31" t="s">
        <v>4</v>
      </c>
    </row>
    <row r="22" spans="1:9" ht="43.5" x14ac:dyDescent="0.35">
      <c r="A22" s="17" t="s">
        <v>157</v>
      </c>
      <c r="B22" s="17" t="s">
        <v>734</v>
      </c>
      <c r="C22" s="17" t="s">
        <v>681</v>
      </c>
      <c r="D22" s="17" t="s">
        <v>252</v>
      </c>
      <c r="E22" s="17" t="s">
        <v>349</v>
      </c>
      <c r="F22" s="17" t="s">
        <v>735</v>
      </c>
      <c r="G22" s="40" t="s">
        <v>736</v>
      </c>
      <c r="H22" s="17" t="s">
        <v>737</v>
      </c>
      <c r="I22" s="31" t="s">
        <v>4</v>
      </c>
    </row>
    <row r="23" spans="1:9" ht="43.5" x14ac:dyDescent="0.35">
      <c r="A23" s="17" t="s">
        <v>163</v>
      </c>
      <c r="B23" s="17" t="s">
        <v>738</v>
      </c>
      <c r="C23" s="17" t="s">
        <v>681</v>
      </c>
      <c r="D23" s="17" t="s">
        <v>252</v>
      </c>
      <c r="E23" s="17" t="s">
        <v>349</v>
      </c>
      <c r="F23" s="17" t="s">
        <v>739</v>
      </c>
      <c r="G23" s="40" t="s">
        <v>740</v>
      </c>
      <c r="H23" s="17" t="s">
        <v>741</v>
      </c>
      <c r="I23" s="31" t="s">
        <v>4</v>
      </c>
    </row>
    <row r="24" spans="1:9" ht="29" x14ac:dyDescent="0.35">
      <c r="A24" s="17" t="s">
        <v>299</v>
      </c>
      <c r="B24" s="17" t="s">
        <v>742</v>
      </c>
      <c r="C24" s="17" t="s">
        <v>681</v>
      </c>
      <c r="D24" s="17" t="s">
        <v>272</v>
      </c>
      <c r="E24" s="17" t="s">
        <v>349</v>
      </c>
      <c r="F24" s="17" t="s">
        <v>361</v>
      </c>
      <c r="G24" s="17" t="s">
        <v>274</v>
      </c>
      <c r="H24" s="17" t="s">
        <v>743</v>
      </c>
      <c r="I24" s="31" t="s">
        <v>4</v>
      </c>
    </row>
    <row r="25" spans="1:9" ht="43.5" x14ac:dyDescent="0.35">
      <c r="A25" s="17" t="s">
        <v>306</v>
      </c>
      <c r="B25" s="17" t="s">
        <v>744</v>
      </c>
      <c r="C25" s="17" t="s">
        <v>681</v>
      </c>
      <c r="D25" s="17" t="s">
        <v>277</v>
      </c>
      <c r="E25" s="17" t="s">
        <v>745</v>
      </c>
      <c r="F25" s="17" t="s">
        <v>461</v>
      </c>
      <c r="G25" s="33" t="s">
        <v>746</v>
      </c>
      <c r="H25" s="33" t="s">
        <v>747</v>
      </c>
      <c r="I25" s="31" t="s">
        <v>4</v>
      </c>
    </row>
    <row r="26" spans="1:9" ht="43.5" x14ac:dyDescent="0.35">
      <c r="A26" s="17" t="s">
        <v>312</v>
      </c>
      <c r="B26" s="17" t="s">
        <v>707</v>
      </c>
      <c r="C26" s="17" t="s">
        <v>681</v>
      </c>
      <c r="D26" s="17" t="s">
        <v>252</v>
      </c>
      <c r="E26" s="17" t="s">
        <v>286</v>
      </c>
      <c r="F26" s="17" t="s">
        <v>354</v>
      </c>
      <c r="G26" s="33" t="s">
        <v>748</v>
      </c>
      <c r="H26" s="17" t="s">
        <v>709</v>
      </c>
      <c r="I26" s="31" t="s">
        <v>4</v>
      </c>
    </row>
    <row r="27" spans="1:9" ht="43.5" x14ac:dyDescent="0.35">
      <c r="A27" s="17" t="s">
        <v>465</v>
      </c>
      <c r="B27" s="17" t="s">
        <v>710</v>
      </c>
      <c r="C27" s="17" t="s">
        <v>681</v>
      </c>
      <c r="D27" s="17" t="s">
        <v>252</v>
      </c>
      <c r="E27" s="49" t="s">
        <v>286</v>
      </c>
      <c r="F27" s="17" t="s">
        <v>354</v>
      </c>
      <c r="G27" s="17" t="s">
        <v>749</v>
      </c>
      <c r="H27" s="17" t="s">
        <v>750</v>
      </c>
      <c r="I27" s="31" t="s">
        <v>4</v>
      </c>
    </row>
    <row r="28" spans="1:9" ht="43.5" x14ac:dyDescent="0.35">
      <c r="A28" s="17" t="s">
        <v>471</v>
      </c>
      <c r="B28" s="17" t="s">
        <v>716</v>
      </c>
      <c r="C28" s="17" t="s">
        <v>681</v>
      </c>
      <c r="D28" s="17" t="s">
        <v>252</v>
      </c>
      <c r="E28" s="49" t="s">
        <v>286</v>
      </c>
      <c r="F28" s="17" t="s">
        <v>354</v>
      </c>
      <c r="G28" s="40" t="s">
        <v>751</v>
      </c>
      <c r="H28" s="17" t="s">
        <v>718</v>
      </c>
      <c r="I28" s="31" t="s">
        <v>4</v>
      </c>
    </row>
    <row r="29" spans="1:9" ht="43.5" x14ac:dyDescent="0.35">
      <c r="A29" s="17" t="s">
        <v>474</v>
      </c>
      <c r="B29" s="17" t="s">
        <v>719</v>
      </c>
      <c r="C29" s="17" t="s">
        <v>681</v>
      </c>
      <c r="D29" s="17" t="s">
        <v>252</v>
      </c>
      <c r="E29" s="49" t="s">
        <v>286</v>
      </c>
      <c r="F29" s="17" t="s">
        <v>720</v>
      </c>
      <c r="G29" s="40" t="s">
        <v>752</v>
      </c>
      <c r="H29" s="17" t="s">
        <v>722</v>
      </c>
      <c r="I29" s="31" t="s">
        <v>4</v>
      </c>
    </row>
    <row r="30" spans="1:9" ht="43.5" x14ac:dyDescent="0.35">
      <c r="A30" s="17" t="s">
        <v>476</v>
      </c>
      <c r="B30" s="17" t="s">
        <v>723</v>
      </c>
      <c r="C30" s="17" t="s">
        <v>681</v>
      </c>
      <c r="D30" s="17" t="s">
        <v>252</v>
      </c>
      <c r="E30" s="49" t="s">
        <v>286</v>
      </c>
      <c r="F30" s="17" t="s">
        <v>354</v>
      </c>
      <c r="G30" s="40" t="s">
        <v>753</v>
      </c>
      <c r="H30" s="17" t="s">
        <v>725</v>
      </c>
      <c r="I30" s="31" t="s">
        <v>4</v>
      </c>
    </row>
    <row r="31" spans="1:9" ht="58" x14ac:dyDescent="0.35">
      <c r="A31" s="17" t="s">
        <v>754</v>
      </c>
      <c r="B31" s="17" t="s">
        <v>726</v>
      </c>
      <c r="C31" s="17" t="s">
        <v>681</v>
      </c>
      <c r="D31" s="17" t="s">
        <v>252</v>
      </c>
      <c r="E31" s="49" t="s">
        <v>286</v>
      </c>
      <c r="F31" s="17" t="s">
        <v>727</v>
      </c>
      <c r="G31" s="40" t="s">
        <v>755</v>
      </c>
      <c r="H31" s="17" t="s">
        <v>756</v>
      </c>
      <c r="I31" s="31" t="s">
        <v>4</v>
      </c>
    </row>
    <row r="32" spans="1:9" ht="58" x14ac:dyDescent="0.35">
      <c r="A32" s="17" t="s">
        <v>757</v>
      </c>
      <c r="B32" s="17" t="s">
        <v>730</v>
      </c>
      <c r="C32" s="17" t="s">
        <v>681</v>
      </c>
      <c r="D32" s="17" t="s">
        <v>252</v>
      </c>
      <c r="E32" s="49" t="s">
        <v>286</v>
      </c>
      <c r="F32" s="17" t="s">
        <v>731</v>
      </c>
      <c r="G32" s="40" t="s">
        <v>758</v>
      </c>
      <c r="H32" s="17" t="s">
        <v>733</v>
      </c>
      <c r="I32" s="31" t="s">
        <v>4</v>
      </c>
    </row>
    <row r="33" spans="1:9" ht="43.5" x14ac:dyDescent="0.35">
      <c r="A33" s="17" t="s">
        <v>759</v>
      </c>
      <c r="B33" s="17" t="s">
        <v>734</v>
      </c>
      <c r="C33" s="17" t="s">
        <v>681</v>
      </c>
      <c r="D33" s="17" t="s">
        <v>252</v>
      </c>
      <c r="E33" s="49" t="s">
        <v>286</v>
      </c>
      <c r="F33" s="17" t="s">
        <v>735</v>
      </c>
      <c r="G33" s="40" t="s">
        <v>760</v>
      </c>
      <c r="H33" s="17" t="s">
        <v>737</v>
      </c>
      <c r="I33" s="31" t="s">
        <v>4</v>
      </c>
    </row>
    <row r="34" spans="1:9" ht="43.5" x14ac:dyDescent="0.35">
      <c r="A34" s="17" t="s">
        <v>761</v>
      </c>
      <c r="B34" s="17" t="s">
        <v>762</v>
      </c>
      <c r="C34" s="17" t="s">
        <v>681</v>
      </c>
      <c r="D34" s="17" t="s">
        <v>252</v>
      </c>
      <c r="E34" s="49" t="s">
        <v>286</v>
      </c>
      <c r="F34" s="17" t="s">
        <v>739</v>
      </c>
      <c r="G34" s="40" t="s">
        <v>763</v>
      </c>
      <c r="H34" s="17" t="s">
        <v>741</v>
      </c>
      <c r="I34" s="31" t="s">
        <v>4</v>
      </c>
    </row>
    <row r="35" spans="1:9" ht="43.5" x14ac:dyDescent="0.35">
      <c r="A35" s="17" t="s">
        <v>764</v>
      </c>
      <c r="B35" s="17" t="s">
        <v>765</v>
      </c>
      <c r="C35" s="17" t="s">
        <v>681</v>
      </c>
      <c r="D35" s="17" t="s">
        <v>368</v>
      </c>
      <c r="E35" s="49" t="s">
        <v>286</v>
      </c>
      <c r="F35" s="17" t="s">
        <v>766</v>
      </c>
      <c r="G35" s="17" t="s">
        <v>767</v>
      </c>
      <c r="H35" s="17" t="s">
        <v>768</v>
      </c>
      <c r="I35" s="31" t="s">
        <v>4</v>
      </c>
    </row>
    <row r="36" spans="1:9" ht="43.5" x14ac:dyDescent="0.35">
      <c r="A36" s="17" t="s">
        <v>769</v>
      </c>
      <c r="B36" s="17" t="s">
        <v>770</v>
      </c>
      <c r="C36" s="17" t="s">
        <v>681</v>
      </c>
      <c r="D36" s="17" t="s">
        <v>771</v>
      </c>
      <c r="E36" s="49" t="s">
        <v>772</v>
      </c>
      <c r="F36" s="17" t="s">
        <v>773</v>
      </c>
      <c r="G36" s="17" t="s">
        <v>774</v>
      </c>
      <c r="H36" s="17" t="s">
        <v>775</v>
      </c>
      <c r="I36" s="31" t="s">
        <v>4</v>
      </c>
    </row>
    <row r="37" spans="1:9" ht="43.5" x14ac:dyDescent="0.35">
      <c r="A37" s="17" t="s">
        <v>776</v>
      </c>
      <c r="B37" s="17" t="s">
        <v>777</v>
      </c>
      <c r="C37" s="17" t="s">
        <v>681</v>
      </c>
      <c r="D37" s="17" t="s">
        <v>673</v>
      </c>
      <c r="E37" s="49" t="s">
        <v>778</v>
      </c>
      <c r="F37" s="17" t="s">
        <v>779</v>
      </c>
      <c r="G37" s="33" t="s">
        <v>780</v>
      </c>
      <c r="H37" s="17" t="s">
        <v>781</v>
      </c>
      <c r="I37" s="31" t="s">
        <v>4</v>
      </c>
    </row>
    <row r="38" spans="1:9" ht="43.5" x14ac:dyDescent="0.35">
      <c r="A38" s="17" t="s">
        <v>782</v>
      </c>
      <c r="B38" s="17" t="s">
        <v>783</v>
      </c>
      <c r="C38" s="17" t="s">
        <v>681</v>
      </c>
      <c r="D38" s="17" t="s">
        <v>673</v>
      </c>
      <c r="E38" s="49" t="s">
        <v>778</v>
      </c>
      <c r="F38" s="17" t="s">
        <v>784</v>
      </c>
      <c r="G38" s="33" t="s">
        <v>780</v>
      </c>
      <c r="H38" s="17" t="s">
        <v>785</v>
      </c>
      <c r="I38" s="31" t="s">
        <v>4</v>
      </c>
    </row>
    <row r="39" spans="1:9" ht="43.5" x14ac:dyDescent="0.35">
      <c r="A39" s="17" t="s">
        <v>786</v>
      </c>
      <c r="B39" s="17" t="s">
        <v>787</v>
      </c>
      <c r="C39" s="17" t="s">
        <v>681</v>
      </c>
      <c r="D39" s="17" t="s">
        <v>314</v>
      </c>
      <c r="E39" s="17" t="s">
        <v>676</v>
      </c>
      <c r="F39" s="17" t="s">
        <v>677</v>
      </c>
      <c r="G39" s="17" t="s">
        <v>316</v>
      </c>
      <c r="H39" s="17" t="s">
        <v>788</v>
      </c>
      <c r="I39" s="3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79" priority="6" operator="containsText" text="Passed">
      <formula>NOT(ISERROR(SEARCH(("Passed"),(G1))))</formula>
    </cfRule>
    <cfRule type="containsText" dxfId="278" priority="7" operator="containsText" text="Failed">
      <formula>NOT(ISERROR(SEARCH(("Failed"),(G1))))</formula>
    </cfRule>
    <cfRule type="containsText" dxfId="277" priority="8" operator="containsText" text="Incomplete">
      <formula>NOT(ISERROR(SEARCH(("Incomplete"),(G1))))</formula>
    </cfRule>
  </conditionalFormatting>
  <conditionalFormatting sqref="I6:I39">
    <cfRule type="containsText" dxfId="276" priority="1" operator="containsText" text="Passed">
      <formula>NOT(ISERROR(SEARCH(("Passed"),(I6))))</formula>
    </cfRule>
    <cfRule type="containsText" dxfId="275" priority="2" operator="containsText" text="Failed">
      <formula>NOT(ISERROR(SEARCH(("Failed"),(I6))))</formula>
    </cfRule>
    <cfRule type="containsText" dxfId="274" priority="3" operator="containsText" text="Bug ok">
      <formula>NOT(ISERROR(SEARCH(("Bug ok"),(I6))))</formula>
    </cfRule>
    <cfRule type="containsText" dxfId="273" priority="4" operator="containsText" text="Blocked">
      <formula>NOT(ISERROR(SEARCH(("Blocked"),(I6))))</formula>
    </cfRule>
    <cfRule type="containsText" dxfId="272" priority="5" operator="containsText" text="Cannot run">
      <formula>NOT(ISERROR(SEARCH(("Cannot run"),(J6))))</formula>
    </cfRule>
  </conditionalFormatting>
  <dataValidations count="1">
    <dataValidation type="list" allowBlank="1" showErrorMessage="1" sqref="I6:I39" xr:uid="{BBD17C6C-16F2-4A09-9801-69AD75BFF400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EC06-4881-4A33-A4AE-2A5ACD3B0AA4}">
  <dimension ref="A1:J35"/>
  <sheetViews>
    <sheetView topLeftCell="A32" workbookViewId="0">
      <selection activeCell="B33" sqref="B33"/>
    </sheetView>
  </sheetViews>
  <sheetFormatPr defaultRowHeight="14.5" x14ac:dyDescent="0.35"/>
  <cols>
    <col min="1" max="1" width="38.26953125" customWidth="1"/>
    <col min="2" max="7" width="27.7265625" customWidth="1"/>
    <col min="8" max="8" width="34.54296875" customWidth="1"/>
    <col min="9" max="9" width="27.7265625" customWidth="1"/>
    <col min="10" max="10" width="40.7265625" customWidth="1"/>
  </cols>
  <sheetData>
    <row r="1" spans="1:10" ht="15.5" x14ac:dyDescent="0.35">
      <c r="A1" s="76"/>
      <c r="B1" s="85" t="s">
        <v>2</v>
      </c>
      <c r="C1" s="78"/>
      <c r="D1" s="86" t="s">
        <v>16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COUNTIF(A6:A102,"TC-??")</f>
        <v>30</v>
      </c>
      <c r="H2" s="14">
        <f>COUNTIF(I4:I933,"Đạt")</f>
        <v>30</v>
      </c>
      <c r="I2" s="6">
        <f>COUNTIF(I4:I933,"Không Đạt")</f>
        <v>0</v>
      </c>
      <c r="J2" s="6">
        <f>COUNTIF(G4:G933,"Chưa Xong")</f>
        <v>0</v>
      </c>
    </row>
    <row r="3" spans="1:10" ht="18" x14ac:dyDescent="0.35">
      <c r="A3" s="76"/>
      <c r="B3" s="85" t="s">
        <v>55</v>
      </c>
      <c r="C3" s="78"/>
      <c r="D3" s="88">
        <v>45982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789</v>
      </c>
      <c r="C6" s="17" t="s">
        <v>16</v>
      </c>
      <c r="D6" s="17" t="s">
        <v>205</v>
      </c>
      <c r="E6" s="17" t="s">
        <v>320</v>
      </c>
      <c r="F6" s="17" t="s">
        <v>321</v>
      </c>
      <c r="G6" s="17" t="s">
        <v>790</v>
      </c>
      <c r="H6" s="17" t="s">
        <v>791</v>
      </c>
      <c r="I6" s="31" t="s">
        <v>4</v>
      </c>
    </row>
    <row r="7" spans="1:10" ht="43.5" x14ac:dyDescent="0.35">
      <c r="A7" s="17" t="s">
        <v>72</v>
      </c>
      <c r="B7" s="17" t="s">
        <v>792</v>
      </c>
      <c r="C7" s="17" t="s">
        <v>16</v>
      </c>
      <c r="D7" s="17" t="s">
        <v>224</v>
      </c>
      <c r="E7" s="17" t="s">
        <v>225</v>
      </c>
      <c r="F7" s="17" t="s">
        <v>793</v>
      </c>
      <c r="G7" t="s">
        <v>794</v>
      </c>
      <c r="H7" s="17" t="s">
        <v>795</v>
      </c>
      <c r="I7" s="31" t="s">
        <v>4</v>
      </c>
      <c r="J7" s="50" t="s">
        <v>796</v>
      </c>
    </row>
    <row r="8" spans="1:10" ht="29" x14ac:dyDescent="0.35">
      <c r="A8" s="17" t="s">
        <v>77</v>
      </c>
      <c r="B8" s="17" t="s">
        <v>797</v>
      </c>
      <c r="C8" s="17" t="s">
        <v>16</v>
      </c>
      <c r="D8" s="17" t="s">
        <v>217</v>
      </c>
      <c r="E8" s="17" t="s">
        <v>798</v>
      </c>
      <c r="F8" s="17" t="s">
        <v>799</v>
      </c>
      <c r="G8" s="17" t="s">
        <v>331</v>
      </c>
      <c r="H8" s="17" t="s">
        <v>800</v>
      </c>
      <c r="I8" s="31" t="s">
        <v>4</v>
      </c>
    </row>
    <row r="9" spans="1:10" ht="43.5" x14ac:dyDescent="0.35">
      <c r="A9" s="17" t="s">
        <v>83</v>
      </c>
      <c r="B9" s="17" t="s">
        <v>692</v>
      </c>
      <c r="C9" s="17" t="s">
        <v>16</v>
      </c>
      <c r="D9" s="17" t="s">
        <v>235</v>
      </c>
      <c r="E9" s="17" t="s">
        <v>801</v>
      </c>
      <c r="F9" s="17" t="s">
        <v>408</v>
      </c>
      <c r="G9" s="17" t="s">
        <v>802</v>
      </c>
      <c r="H9" s="17" t="s">
        <v>803</v>
      </c>
      <c r="I9" s="31" t="s">
        <v>4</v>
      </c>
    </row>
    <row r="10" spans="1:10" ht="29" x14ac:dyDescent="0.35">
      <c r="A10" s="17" t="s">
        <v>88</v>
      </c>
      <c r="B10" s="17" t="s">
        <v>804</v>
      </c>
      <c r="C10" s="17" t="s">
        <v>16</v>
      </c>
      <c r="D10" s="17" t="s">
        <v>224</v>
      </c>
      <c r="E10" s="17" t="s">
        <v>225</v>
      </c>
      <c r="F10" t="s">
        <v>805</v>
      </c>
      <c r="G10" s="17" t="s">
        <v>806</v>
      </c>
      <c r="H10" s="17" t="s">
        <v>807</v>
      </c>
      <c r="I10" s="31" t="s">
        <v>4</v>
      </c>
    </row>
    <row r="11" spans="1:10" ht="29" x14ac:dyDescent="0.35">
      <c r="A11" s="17" t="s">
        <v>233</v>
      </c>
      <c r="B11" s="17" t="s">
        <v>808</v>
      </c>
      <c r="C11" s="17" t="s">
        <v>16</v>
      </c>
      <c r="D11" s="17" t="s">
        <v>224</v>
      </c>
      <c r="E11" s="17" t="s">
        <v>225</v>
      </c>
      <c r="F11" t="s">
        <v>809</v>
      </c>
      <c r="G11" s="17" t="s">
        <v>810</v>
      </c>
      <c r="H11" s="17" t="s">
        <v>811</v>
      </c>
      <c r="I11" s="31" t="s">
        <v>4</v>
      </c>
    </row>
    <row r="12" spans="1:10" ht="43.5" x14ac:dyDescent="0.35">
      <c r="A12" s="17" t="s">
        <v>93</v>
      </c>
      <c r="B12" s="17" t="s">
        <v>812</v>
      </c>
      <c r="C12" s="17" t="s">
        <v>16</v>
      </c>
      <c r="D12" s="17" t="s">
        <v>813</v>
      </c>
      <c r="E12" s="17" t="s">
        <v>814</v>
      </c>
      <c r="F12" s="17" t="s">
        <v>643</v>
      </c>
      <c r="G12" s="17" t="s">
        <v>815</v>
      </c>
      <c r="H12" s="33" t="s">
        <v>816</v>
      </c>
      <c r="I12" s="31" t="s">
        <v>4</v>
      </c>
      <c r="J12" s="50" t="s">
        <v>817</v>
      </c>
    </row>
    <row r="13" spans="1:10" ht="43.5" x14ac:dyDescent="0.35">
      <c r="A13" s="17" t="s">
        <v>98</v>
      </c>
      <c r="B13" s="17" t="s">
        <v>818</v>
      </c>
      <c r="C13" s="17" t="s">
        <v>16</v>
      </c>
      <c r="D13" s="17" t="s">
        <v>246</v>
      </c>
      <c r="E13" s="17" t="s">
        <v>349</v>
      </c>
      <c r="F13" s="17" t="s">
        <v>819</v>
      </c>
      <c r="G13" s="33" t="s">
        <v>820</v>
      </c>
      <c r="H13" s="17" t="s">
        <v>821</v>
      </c>
      <c r="I13" s="31" t="s">
        <v>4</v>
      </c>
    </row>
    <row r="14" spans="1:10" ht="43.5" x14ac:dyDescent="0.35">
      <c r="A14" s="17" t="s">
        <v>105</v>
      </c>
      <c r="B14" s="17" t="s">
        <v>822</v>
      </c>
      <c r="C14" s="17" t="s">
        <v>16</v>
      </c>
      <c r="D14" s="17" t="s">
        <v>252</v>
      </c>
      <c r="E14" s="17" t="s">
        <v>349</v>
      </c>
      <c r="F14" s="17" t="s">
        <v>823</v>
      </c>
      <c r="G14" s="17" t="s">
        <v>824</v>
      </c>
      <c r="H14" s="17" t="s">
        <v>422</v>
      </c>
      <c r="I14" s="31" t="s">
        <v>4</v>
      </c>
    </row>
    <row r="15" spans="1:10" ht="43.5" x14ac:dyDescent="0.35">
      <c r="A15" s="17" t="s">
        <v>113</v>
      </c>
      <c r="B15" s="17" t="s">
        <v>825</v>
      </c>
      <c r="C15" s="17" t="s">
        <v>16</v>
      </c>
      <c r="D15" s="17" t="s">
        <v>252</v>
      </c>
      <c r="E15" s="17" t="s">
        <v>349</v>
      </c>
      <c r="F15" s="17" t="s">
        <v>823</v>
      </c>
      <c r="G15" s="17" t="s">
        <v>826</v>
      </c>
      <c r="H15" s="17" t="s">
        <v>827</v>
      </c>
      <c r="I15" s="31" t="s">
        <v>4</v>
      </c>
    </row>
    <row r="16" spans="1:10" ht="29" x14ac:dyDescent="0.35">
      <c r="A16" s="17" t="s">
        <v>119</v>
      </c>
      <c r="B16" s="17" t="s">
        <v>828</v>
      </c>
      <c r="C16" s="17" t="s">
        <v>16</v>
      </c>
      <c r="D16" s="17" t="s">
        <v>272</v>
      </c>
      <c r="E16" s="17" t="s">
        <v>349</v>
      </c>
      <c r="F16" s="17" t="s">
        <v>361</v>
      </c>
      <c r="G16" s="17" t="s">
        <v>274</v>
      </c>
      <c r="H16" s="17" t="s">
        <v>829</v>
      </c>
      <c r="I16" s="31" t="s">
        <v>4</v>
      </c>
    </row>
    <row r="17" spans="1:10" ht="43.5" x14ac:dyDescent="0.35">
      <c r="A17" s="17" t="s">
        <v>125</v>
      </c>
      <c r="B17" s="17" t="s">
        <v>830</v>
      </c>
      <c r="C17" s="17" t="s">
        <v>16</v>
      </c>
      <c r="D17" s="17" t="s">
        <v>368</v>
      </c>
      <c r="E17" s="17" t="s">
        <v>831</v>
      </c>
      <c r="F17" s="17" t="s">
        <v>459</v>
      </c>
      <c r="G17" s="17" t="s">
        <v>832</v>
      </c>
      <c r="H17" s="33" t="s">
        <v>833</v>
      </c>
      <c r="I17" s="31" t="s">
        <v>4</v>
      </c>
      <c r="J17" s="50"/>
    </row>
    <row r="18" spans="1:10" ht="43.5" x14ac:dyDescent="0.35">
      <c r="A18" s="17" t="s">
        <v>132</v>
      </c>
      <c r="B18" s="17" t="s">
        <v>834</v>
      </c>
      <c r="C18" s="17" t="s">
        <v>16</v>
      </c>
      <c r="D18" s="17" t="s">
        <v>548</v>
      </c>
      <c r="E18" s="17" t="s">
        <v>283</v>
      </c>
      <c r="F18" s="17" t="s">
        <v>835</v>
      </c>
      <c r="G18" s="17" t="s">
        <v>464</v>
      </c>
      <c r="H18" s="17" t="s">
        <v>836</v>
      </c>
      <c r="I18" s="31" t="s">
        <v>4</v>
      </c>
    </row>
    <row r="19" spans="1:10" ht="43.5" x14ac:dyDescent="0.35">
      <c r="A19" s="17" t="s">
        <v>138</v>
      </c>
      <c r="B19" s="17" t="s">
        <v>837</v>
      </c>
      <c r="C19" s="17" t="s">
        <v>16</v>
      </c>
      <c r="D19" s="17" t="s">
        <v>252</v>
      </c>
      <c r="E19" s="17" t="s">
        <v>283</v>
      </c>
      <c r="F19" s="17" t="s">
        <v>823</v>
      </c>
      <c r="G19" s="17" t="s">
        <v>838</v>
      </c>
      <c r="H19" s="17" t="s">
        <v>422</v>
      </c>
      <c r="I19" s="31" t="s">
        <v>4</v>
      </c>
    </row>
    <row r="20" spans="1:10" ht="43.5" x14ac:dyDescent="0.35">
      <c r="A20" s="17" t="s">
        <v>144</v>
      </c>
      <c r="B20" s="17" t="s">
        <v>839</v>
      </c>
      <c r="C20" s="17" t="s">
        <v>16</v>
      </c>
      <c r="D20" s="17" t="s">
        <v>252</v>
      </c>
      <c r="E20" s="17" t="s">
        <v>283</v>
      </c>
      <c r="F20" s="17" t="s">
        <v>823</v>
      </c>
      <c r="G20" s="17" t="s">
        <v>840</v>
      </c>
      <c r="H20" s="17" t="s">
        <v>827</v>
      </c>
      <c r="I20" s="31" t="s">
        <v>4</v>
      </c>
      <c r="J20" s="50"/>
    </row>
    <row r="21" spans="1:10" ht="29" x14ac:dyDescent="0.35">
      <c r="A21" s="17" t="s">
        <v>150</v>
      </c>
      <c r="B21" s="17" t="s">
        <v>841</v>
      </c>
      <c r="C21" s="17" t="s">
        <v>681</v>
      </c>
      <c r="D21" s="17" t="s">
        <v>771</v>
      </c>
      <c r="E21" s="49" t="s">
        <v>772</v>
      </c>
      <c r="F21" s="17" t="s">
        <v>773</v>
      </c>
      <c r="G21" s="17" t="s">
        <v>774</v>
      </c>
      <c r="H21" s="17" t="s">
        <v>775</v>
      </c>
      <c r="I21" s="31" t="s">
        <v>4</v>
      </c>
      <c r="J21" s="50"/>
    </row>
    <row r="22" spans="1:10" ht="43.5" x14ac:dyDescent="0.35">
      <c r="A22" s="17" t="s">
        <v>157</v>
      </c>
      <c r="B22" s="17" t="s">
        <v>842</v>
      </c>
      <c r="C22" s="17" t="s">
        <v>681</v>
      </c>
      <c r="D22" s="17" t="s">
        <v>673</v>
      </c>
      <c r="E22" s="49" t="s">
        <v>778</v>
      </c>
      <c r="F22" s="17" t="s">
        <v>779</v>
      </c>
      <c r="G22" s="33" t="s">
        <v>780</v>
      </c>
      <c r="H22" s="17" t="s">
        <v>843</v>
      </c>
      <c r="I22" s="31" t="s">
        <v>4</v>
      </c>
      <c r="J22" s="50"/>
    </row>
    <row r="23" spans="1:10" ht="58" x14ac:dyDescent="0.35">
      <c r="A23" s="17" t="s">
        <v>163</v>
      </c>
      <c r="B23" s="17" t="s">
        <v>844</v>
      </c>
      <c r="C23" s="17" t="s">
        <v>681</v>
      </c>
      <c r="D23" s="17" t="s">
        <v>673</v>
      </c>
      <c r="E23" s="49" t="s">
        <v>778</v>
      </c>
      <c r="F23" s="17" t="s">
        <v>845</v>
      </c>
      <c r="G23" s="33" t="s">
        <v>780</v>
      </c>
      <c r="H23" s="17" t="s">
        <v>846</v>
      </c>
      <c r="I23" s="31" t="s">
        <v>4</v>
      </c>
      <c r="J23" s="50"/>
    </row>
    <row r="24" spans="1:10" ht="43.5" x14ac:dyDescent="0.35">
      <c r="A24" s="17" t="s">
        <v>299</v>
      </c>
      <c r="B24" s="17" t="s">
        <v>847</v>
      </c>
      <c r="C24" s="17" t="s">
        <v>16</v>
      </c>
      <c r="D24" s="17" t="s">
        <v>17</v>
      </c>
      <c r="E24" s="17" t="s">
        <v>831</v>
      </c>
      <c r="F24" s="17" t="s">
        <v>848</v>
      </c>
      <c r="G24" s="33" t="s">
        <v>849</v>
      </c>
      <c r="H24" s="17" t="s">
        <v>850</v>
      </c>
      <c r="I24" s="31" t="s">
        <v>4</v>
      </c>
    </row>
    <row r="25" spans="1:10" ht="43.5" x14ac:dyDescent="0.35">
      <c r="A25" s="17" t="s">
        <v>306</v>
      </c>
      <c r="B25" s="17" t="s">
        <v>851</v>
      </c>
      <c r="C25" s="17" t="s">
        <v>852</v>
      </c>
      <c r="D25" s="17" t="s">
        <v>224</v>
      </c>
      <c r="E25" s="17" t="s">
        <v>853</v>
      </c>
      <c r="F25" s="17" t="s">
        <v>854</v>
      </c>
      <c r="G25" s="33" t="s">
        <v>849</v>
      </c>
      <c r="H25" s="17" t="s">
        <v>855</v>
      </c>
      <c r="I25" s="31" t="s">
        <v>4</v>
      </c>
      <c r="J25" s="50"/>
    </row>
    <row r="26" spans="1:10" ht="43.5" x14ac:dyDescent="0.35">
      <c r="A26" s="17" t="s">
        <v>312</v>
      </c>
      <c r="B26" s="17" t="s">
        <v>856</v>
      </c>
      <c r="C26" s="17" t="s">
        <v>852</v>
      </c>
      <c r="D26" s="17" t="s">
        <v>217</v>
      </c>
      <c r="E26" s="17" t="s">
        <v>857</v>
      </c>
      <c r="F26" s="17" t="s">
        <v>858</v>
      </c>
      <c r="G26" s="17" t="s">
        <v>859</v>
      </c>
      <c r="H26" s="17" t="s">
        <v>860</v>
      </c>
      <c r="I26" s="31" t="s">
        <v>4</v>
      </c>
    </row>
    <row r="27" spans="1:10" ht="72.5" x14ac:dyDescent="0.35">
      <c r="A27" s="17" t="s">
        <v>465</v>
      </c>
      <c r="B27" s="17" t="s">
        <v>861</v>
      </c>
      <c r="C27" s="17" t="s">
        <v>852</v>
      </c>
      <c r="D27" s="17" t="s">
        <v>246</v>
      </c>
      <c r="E27" s="17" t="s">
        <v>853</v>
      </c>
      <c r="F27" s="17" t="s">
        <v>862</v>
      </c>
      <c r="G27" s="33" t="s">
        <v>863</v>
      </c>
      <c r="H27" s="17" t="s">
        <v>864</v>
      </c>
      <c r="I27" s="31" t="s">
        <v>4</v>
      </c>
    </row>
    <row r="28" spans="1:10" ht="43.5" x14ac:dyDescent="0.35">
      <c r="A28" s="17" t="s">
        <v>471</v>
      </c>
      <c r="B28" s="17" t="s">
        <v>865</v>
      </c>
      <c r="C28" s="17" t="s">
        <v>852</v>
      </c>
      <c r="D28" s="17" t="s">
        <v>866</v>
      </c>
      <c r="E28" s="17" t="s">
        <v>349</v>
      </c>
      <c r="F28" s="17" t="s">
        <v>823</v>
      </c>
      <c r="G28" s="17" t="s">
        <v>867</v>
      </c>
      <c r="H28" s="17" t="s">
        <v>868</v>
      </c>
      <c r="I28" s="31" t="s">
        <v>4</v>
      </c>
    </row>
    <row r="29" spans="1:10" ht="58" x14ac:dyDescent="0.35">
      <c r="A29" s="17" t="s">
        <v>474</v>
      </c>
      <c r="B29" s="17" t="s">
        <v>869</v>
      </c>
      <c r="C29" s="17" t="s">
        <v>852</v>
      </c>
      <c r="D29" s="17" t="s">
        <v>866</v>
      </c>
      <c r="E29" s="17" t="s">
        <v>349</v>
      </c>
      <c r="F29" s="17"/>
      <c r="G29" s="17" t="s">
        <v>870</v>
      </c>
      <c r="H29" s="17" t="s">
        <v>868</v>
      </c>
      <c r="I29" s="31" t="s">
        <v>4</v>
      </c>
      <c r="J29" s="50"/>
    </row>
    <row r="30" spans="1:10" ht="29" x14ac:dyDescent="0.35">
      <c r="A30" s="17" t="s">
        <v>476</v>
      </c>
      <c r="B30" s="17" t="s">
        <v>871</v>
      </c>
      <c r="C30" s="17" t="s">
        <v>852</v>
      </c>
      <c r="D30" s="17" t="s">
        <v>368</v>
      </c>
      <c r="E30" s="17" t="s">
        <v>872</v>
      </c>
      <c r="F30" s="17" t="s">
        <v>459</v>
      </c>
      <c r="G30" s="17" t="s">
        <v>832</v>
      </c>
      <c r="H30" s="17" t="s">
        <v>873</v>
      </c>
      <c r="I30" s="31" t="s">
        <v>4</v>
      </c>
      <c r="J30" s="50"/>
    </row>
    <row r="31" spans="1:10" ht="43.5" x14ac:dyDescent="0.35">
      <c r="A31" s="17" t="s">
        <v>754</v>
      </c>
      <c r="B31" s="17" t="s">
        <v>874</v>
      </c>
      <c r="C31" s="17" t="s">
        <v>852</v>
      </c>
      <c r="D31" s="17" t="s">
        <v>548</v>
      </c>
      <c r="E31" s="17" t="s">
        <v>283</v>
      </c>
      <c r="F31" s="17" t="s">
        <v>835</v>
      </c>
      <c r="G31" s="17" t="s">
        <v>464</v>
      </c>
      <c r="H31" s="17" t="s">
        <v>875</v>
      </c>
      <c r="I31" s="31" t="s">
        <v>4</v>
      </c>
    </row>
    <row r="32" spans="1:10" ht="58" x14ac:dyDescent="0.35">
      <c r="A32" s="17" t="s">
        <v>757</v>
      </c>
      <c r="B32" s="17" t="s">
        <v>876</v>
      </c>
      <c r="C32" s="17" t="s">
        <v>852</v>
      </c>
      <c r="D32" s="17" t="s">
        <v>866</v>
      </c>
      <c r="E32" s="17" t="s">
        <v>283</v>
      </c>
      <c r="F32" s="17"/>
      <c r="G32" s="17" t="s">
        <v>877</v>
      </c>
      <c r="H32" s="17" t="s">
        <v>868</v>
      </c>
      <c r="I32" s="31" t="s">
        <v>4</v>
      </c>
    </row>
    <row r="33" spans="1:9" ht="29" x14ac:dyDescent="0.35">
      <c r="A33" s="17" t="s">
        <v>759</v>
      </c>
      <c r="B33" s="17" t="s">
        <v>878</v>
      </c>
      <c r="C33" s="17" t="s">
        <v>852</v>
      </c>
      <c r="D33" s="17" t="s">
        <v>294</v>
      </c>
      <c r="E33" s="17" t="s">
        <v>879</v>
      </c>
      <c r="F33" s="17" t="s">
        <v>296</v>
      </c>
      <c r="G33" s="17" t="s">
        <v>880</v>
      </c>
      <c r="H33" s="17" t="s">
        <v>881</v>
      </c>
      <c r="I33" s="31" t="s">
        <v>4</v>
      </c>
    </row>
    <row r="34" spans="1:9" ht="58" x14ac:dyDescent="0.35">
      <c r="A34" s="17" t="s">
        <v>761</v>
      </c>
      <c r="B34" s="17" t="s">
        <v>882</v>
      </c>
      <c r="C34" s="17" t="s">
        <v>852</v>
      </c>
      <c r="D34" s="17" t="s">
        <v>883</v>
      </c>
      <c r="E34" s="17" t="s">
        <v>884</v>
      </c>
      <c r="F34" s="17" t="s">
        <v>309</v>
      </c>
      <c r="G34" s="17" t="s">
        <v>310</v>
      </c>
      <c r="H34" s="17" t="s">
        <v>846</v>
      </c>
      <c r="I34" s="31" t="s">
        <v>4</v>
      </c>
    </row>
    <row r="35" spans="1:9" ht="43.5" x14ac:dyDescent="0.35">
      <c r="A35" s="17" t="s">
        <v>764</v>
      </c>
      <c r="B35" s="17" t="s">
        <v>885</v>
      </c>
      <c r="C35" s="17" t="s">
        <v>16</v>
      </c>
      <c r="D35" s="17" t="s">
        <v>314</v>
      </c>
      <c r="E35" s="17" t="s">
        <v>886</v>
      </c>
      <c r="F35" s="17" t="s">
        <v>315</v>
      </c>
      <c r="G35" s="17" t="s">
        <v>316</v>
      </c>
      <c r="H35" s="17" t="s">
        <v>887</v>
      </c>
      <c r="I35" s="3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71" priority="16" operator="containsText" text="Passed">
      <formula>NOT(ISERROR(SEARCH(("Passed"),(G1))))</formula>
    </cfRule>
    <cfRule type="containsText" dxfId="270" priority="17" operator="containsText" text="Failed">
      <formula>NOT(ISERROR(SEARCH(("Failed"),(G1))))</formula>
    </cfRule>
    <cfRule type="containsText" dxfId="269" priority="18" operator="containsText" text="Incomplete">
      <formula>NOT(ISERROR(SEARCH(("Incomplete"),(G1))))</formula>
    </cfRule>
  </conditionalFormatting>
  <conditionalFormatting sqref="I6:I35">
    <cfRule type="containsText" dxfId="268" priority="1" operator="containsText" text="Passed">
      <formula>NOT(ISERROR(SEARCH(("Passed"),(I6))))</formula>
    </cfRule>
    <cfRule type="containsText" dxfId="267" priority="2" operator="containsText" text="Failed">
      <formula>NOT(ISERROR(SEARCH(("Failed"),(I6))))</formula>
    </cfRule>
    <cfRule type="containsText" dxfId="266" priority="3" operator="containsText" text="Bug ok">
      <formula>NOT(ISERROR(SEARCH(("Bug ok"),(I6))))</formula>
    </cfRule>
    <cfRule type="containsText" dxfId="265" priority="4" operator="containsText" text="Blocked">
      <formula>NOT(ISERROR(SEARCH(("Blocked"),(I6))))</formula>
    </cfRule>
    <cfRule type="containsText" dxfId="264" priority="5" operator="containsText" text="Cannot run">
      <formula>NOT(ISERROR(SEARCH(("Cannot run"),(J6))))</formula>
    </cfRule>
  </conditionalFormatting>
  <dataValidations count="1">
    <dataValidation type="list" allowBlank="1" showErrorMessage="1" sqref="I6:I35" xr:uid="{9E103923-BBF6-44D5-8570-C33B5AF186F0}">
      <formula1>"Đạt,Không Đạt,Bug ok,Chưa xong"</formula1>
    </dataValidation>
  </dataValidations>
  <hyperlinks>
    <hyperlink ref="J7" r:id="rId1" xr:uid="{FC012543-604B-4B74-A0DF-1115BD463041}"/>
    <hyperlink ref="J12" r:id="rId2" xr:uid="{4E00818C-62CB-4E78-89F3-05371BE338B4}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4A7A-3857-4018-8854-1E1964C8B0B0}">
  <dimension ref="A1:J28"/>
  <sheetViews>
    <sheetView topLeftCell="C33" workbookViewId="0">
      <selection activeCell="H6" sqref="H6:H28"/>
    </sheetView>
  </sheetViews>
  <sheetFormatPr defaultRowHeight="14.5" x14ac:dyDescent="0.35"/>
  <cols>
    <col min="1" max="1" width="49" customWidth="1"/>
    <col min="2" max="2" width="38.453125" customWidth="1"/>
    <col min="3" max="3" width="32.54296875" customWidth="1"/>
    <col min="4" max="4" width="21" customWidth="1"/>
    <col min="5" max="5" width="31.453125" customWidth="1"/>
    <col min="6" max="6" width="43.453125" customWidth="1"/>
    <col min="7" max="7" width="56" customWidth="1"/>
    <col min="8" max="8" width="43.54296875" customWidth="1"/>
    <col min="9" max="9" width="52.453125" customWidth="1"/>
    <col min="10" max="10" width="55.1796875" customWidth="1"/>
  </cols>
  <sheetData>
    <row r="1" spans="1:10" ht="15.5" x14ac:dyDescent="0.35">
      <c r="A1" s="76"/>
      <c r="B1" s="85" t="s">
        <v>2</v>
      </c>
      <c r="C1" s="78"/>
      <c r="D1" s="86" t="s">
        <v>888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889</v>
      </c>
      <c r="E2" s="80"/>
      <c r="F2" s="82"/>
      <c r="G2" s="22">
        <f>COUNTIF(A6:A77,"TC-??")</f>
        <v>23</v>
      </c>
      <c r="H2" s="14">
        <f>COUNTIF(I4:I934,"Đạt")</f>
        <v>23</v>
      </c>
      <c r="I2" s="6">
        <f>COUNTIF(G4:G934,"Không Đạt")</f>
        <v>0</v>
      </c>
      <c r="J2" s="6">
        <f>COUNTIF(G4:G934,"Chưa Xong")</f>
        <v>0</v>
      </c>
    </row>
    <row r="3" spans="1:10" ht="18" x14ac:dyDescent="0.35">
      <c r="A3" s="76"/>
      <c r="B3" s="85" t="s">
        <v>55</v>
      </c>
      <c r="C3" s="78"/>
      <c r="D3" s="88">
        <v>46057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4" spans="1:10" x14ac:dyDescent="0.35">
      <c r="H4" s="17"/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t="s">
        <v>65</v>
      </c>
      <c r="B6" s="17" t="s">
        <v>890</v>
      </c>
      <c r="C6" t="s">
        <v>891</v>
      </c>
      <c r="D6" t="s">
        <v>205</v>
      </c>
      <c r="E6" s="17" t="s">
        <v>892</v>
      </c>
      <c r="F6" s="17" t="s">
        <v>893</v>
      </c>
      <c r="G6" s="17" t="s">
        <v>894</v>
      </c>
      <c r="H6" s="17" t="s">
        <v>895</v>
      </c>
      <c r="I6" s="51" t="s">
        <v>4</v>
      </c>
    </row>
    <row r="7" spans="1:10" ht="29" x14ac:dyDescent="0.35">
      <c r="A7" t="s">
        <v>72</v>
      </c>
      <c r="B7" s="17" t="s">
        <v>896</v>
      </c>
      <c r="C7" t="s">
        <v>891</v>
      </c>
      <c r="D7" t="s">
        <v>224</v>
      </c>
      <c r="E7" s="17" t="s">
        <v>225</v>
      </c>
      <c r="F7" s="17" t="s">
        <v>897</v>
      </c>
      <c r="G7" s="17" t="s">
        <v>214</v>
      </c>
      <c r="H7" s="17" t="s">
        <v>898</v>
      </c>
      <c r="I7" s="51" t="s">
        <v>4</v>
      </c>
    </row>
    <row r="8" spans="1:10" ht="43.5" x14ac:dyDescent="0.35">
      <c r="A8" t="s">
        <v>77</v>
      </c>
      <c r="B8" s="17" t="s">
        <v>899</v>
      </c>
      <c r="C8" t="s">
        <v>891</v>
      </c>
      <c r="D8" t="s">
        <v>643</v>
      </c>
      <c r="E8" s="17" t="s">
        <v>225</v>
      </c>
      <c r="F8" s="17" t="s">
        <v>900</v>
      </c>
      <c r="G8" s="17" t="s">
        <v>901</v>
      </c>
      <c r="H8" s="17" t="s">
        <v>902</v>
      </c>
      <c r="I8" s="51" t="s">
        <v>4</v>
      </c>
    </row>
    <row r="9" spans="1:10" ht="29" x14ac:dyDescent="0.35">
      <c r="A9" t="s">
        <v>83</v>
      </c>
      <c r="B9" s="17" t="s">
        <v>903</v>
      </c>
      <c r="C9" t="s">
        <v>891</v>
      </c>
      <c r="D9" t="s">
        <v>217</v>
      </c>
      <c r="E9" s="17" t="s">
        <v>904</v>
      </c>
      <c r="F9" s="17" t="s">
        <v>905</v>
      </c>
      <c r="G9" s="17" t="s">
        <v>906</v>
      </c>
      <c r="H9" s="17" t="s">
        <v>907</v>
      </c>
      <c r="I9" s="51" t="s">
        <v>4</v>
      </c>
    </row>
    <row r="10" spans="1:10" ht="43.5" x14ac:dyDescent="0.35">
      <c r="A10" t="s">
        <v>88</v>
      </c>
      <c r="B10" s="17" t="s">
        <v>908</v>
      </c>
      <c r="C10" t="s">
        <v>891</v>
      </c>
      <c r="D10" t="s">
        <v>217</v>
      </c>
      <c r="E10" s="17" t="s">
        <v>904</v>
      </c>
      <c r="F10" s="17" t="s">
        <v>909</v>
      </c>
      <c r="G10" s="17" t="s">
        <v>910</v>
      </c>
      <c r="H10" s="17" t="s">
        <v>911</v>
      </c>
      <c r="I10" s="51" t="s">
        <v>4</v>
      </c>
    </row>
    <row r="11" spans="1:10" ht="43.5" x14ac:dyDescent="0.35">
      <c r="A11" t="s">
        <v>233</v>
      </c>
      <c r="B11" s="17" t="s">
        <v>912</v>
      </c>
      <c r="C11" s="17" t="s">
        <v>681</v>
      </c>
      <c r="D11" s="17" t="s">
        <v>224</v>
      </c>
      <c r="E11" s="17" t="s">
        <v>225</v>
      </c>
      <c r="F11" t="s">
        <v>913</v>
      </c>
      <c r="G11" s="17" t="s">
        <v>914</v>
      </c>
      <c r="H11" s="17" t="s">
        <v>915</v>
      </c>
      <c r="I11" s="51" t="s">
        <v>4</v>
      </c>
    </row>
    <row r="12" spans="1:10" ht="43.5" x14ac:dyDescent="0.35">
      <c r="A12" t="s">
        <v>93</v>
      </c>
      <c r="B12" s="17" t="s">
        <v>916</v>
      </c>
      <c r="C12" s="17" t="s">
        <v>681</v>
      </c>
      <c r="D12" s="17" t="s">
        <v>224</v>
      </c>
      <c r="E12" s="17" t="s">
        <v>225</v>
      </c>
      <c r="F12" t="s">
        <v>917</v>
      </c>
      <c r="G12" s="17" t="s">
        <v>918</v>
      </c>
      <c r="H12" s="17" t="s">
        <v>919</v>
      </c>
      <c r="I12" s="51" t="s">
        <v>4</v>
      </c>
    </row>
    <row r="13" spans="1:10" ht="43.5" x14ac:dyDescent="0.35">
      <c r="A13" t="s">
        <v>98</v>
      </c>
      <c r="B13" s="17" t="s">
        <v>920</v>
      </c>
      <c r="C13" t="s">
        <v>891</v>
      </c>
      <c r="D13" t="s">
        <v>921</v>
      </c>
      <c r="E13" s="17" t="s">
        <v>922</v>
      </c>
      <c r="F13" s="17" t="s">
        <v>923</v>
      </c>
      <c r="G13" s="17" t="s">
        <v>924</v>
      </c>
      <c r="H13" s="17" t="s">
        <v>925</v>
      </c>
      <c r="I13" s="51" t="s">
        <v>4</v>
      </c>
    </row>
    <row r="14" spans="1:10" ht="43.5" x14ac:dyDescent="0.35">
      <c r="A14" t="s">
        <v>105</v>
      </c>
      <c r="B14" s="17" t="s">
        <v>926</v>
      </c>
      <c r="C14" t="s">
        <v>891</v>
      </c>
      <c r="D14" t="s">
        <v>246</v>
      </c>
      <c r="E14" s="17" t="s">
        <v>814</v>
      </c>
      <c r="F14" s="17" t="s">
        <v>927</v>
      </c>
      <c r="G14" s="17" t="s">
        <v>928</v>
      </c>
      <c r="H14" s="17" t="s">
        <v>929</v>
      </c>
      <c r="I14" s="51" t="s">
        <v>4</v>
      </c>
    </row>
    <row r="15" spans="1:10" ht="43.5" x14ac:dyDescent="0.35">
      <c r="A15" t="s">
        <v>113</v>
      </c>
      <c r="B15" s="17" t="s">
        <v>930</v>
      </c>
      <c r="C15" t="s">
        <v>891</v>
      </c>
      <c r="D15" t="s">
        <v>246</v>
      </c>
      <c r="E15" s="17" t="s">
        <v>931</v>
      </c>
      <c r="F15" s="17" t="s">
        <v>932</v>
      </c>
      <c r="G15" s="17" t="s">
        <v>933</v>
      </c>
      <c r="H15" s="17" t="s">
        <v>934</v>
      </c>
      <c r="I15" s="51" t="s">
        <v>4</v>
      </c>
    </row>
    <row r="16" spans="1:10" ht="29" x14ac:dyDescent="0.35">
      <c r="A16" t="s">
        <v>119</v>
      </c>
      <c r="B16" s="17" t="s">
        <v>935</v>
      </c>
      <c r="C16" t="s">
        <v>891</v>
      </c>
      <c r="D16" t="s">
        <v>246</v>
      </c>
      <c r="E16" s="17" t="s">
        <v>936</v>
      </c>
      <c r="F16" s="17" t="s">
        <v>937</v>
      </c>
      <c r="G16" s="17" t="s">
        <v>938</v>
      </c>
      <c r="H16" s="17" t="s">
        <v>939</v>
      </c>
      <c r="I16" s="51" t="s">
        <v>4</v>
      </c>
    </row>
    <row r="17" spans="1:9" ht="29" x14ac:dyDescent="0.35">
      <c r="A17" t="s">
        <v>125</v>
      </c>
      <c r="B17" s="17" t="s">
        <v>940</v>
      </c>
      <c r="C17" t="s">
        <v>891</v>
      </c>
      <c r="D17" t="s">
        <v>246</v>
      </c>
      <c r="E17" s="17" t="s">
        <v>936</v>
      </c>
      <c r="F17" s="17" t="s">
        <v>941</v>
      </c>
      <c r="G17" s="17" t="s">
        <v>942</v>
      </c>
      <c r="H17" s="17" t="s">
        <v>943</v>
      </c>
      <c r="I17" s="51" t="s">
        <v>4</v>
      </c>
    </row>
    <row r="18" spans="1:9" ht="43.5" x14ac:dyDescent="0.35">
      <c r="A18" t="s">
        <v>132</v>
      </c>
      <c r="B18" s="17" t="s">
        <v>944</v>
      </c>
      <c r="C18" t="s">
        <v>891</v>
      </c>
      <c r="D18" t="s">
        <v>246</v>
      </c>
      <c r="E18" s="17" t="s">
        <v>945</v>
      </c>
      <c r="F18" s="17" t="s">
        <v>946</v>
      </c>
      <c r="G18" s="40" t="s">
        <v>947</v>
      </c>
      <c r="H18" s="17" t="s">
        <v>948</v>
      </c>
      <c r="I18" s="51" t="s">
        <v>4</v>
      </c>
    </row>
    <row r="19" spans="1:9" ht="29" x14ac:dyDescent="0.35">
      <c r="A19" t="s">
        <v>138</v>
      </c>
      <c r="B19" s="17" t="s">
        <v>949</v>
      </c>
      <c r="C19" t="s">
        <v>891</v>
      </c>
      <c r="D19" t="s">
        <v>246</v>
      </c>
      <c r="E19" s="17" t="s">
        <v>936</v>
      </c>
      <c r="F19" s="17" t="s">
        <v>950</v>
      </c>
      <c r="G19" s="17" t="s">
        <v>951</v>
      </c>
      <c r="H19" s="17" t="s">
        <v>952</v>
      </c>
      <c r="I19" s="51" t="s">
        <v>4</v>
      </c>
    </row>
    <row r="20" spans="1:9" ht="29" x14ac:dyDescent="0.35">
      <c r="A20" t="s">
        <v>144</v>
      </c>
      <c r="B20" s="17" t="s">
        <v>953</v>
      </c>
      <c r="C20" t="s">
        <v>891</v>
      </c>
      <c r="D20" t="s">
        <v>315</v>
      </c>
      <c r="E20" s="17" t="s">
        <v>936</v>
      </c>
      <c r="F20" s="17" t="s">
        <v>954</v>
      </c>
      <c r="G20" s="17" t="s">
        <v>955</v>
      </c>
      <c r="H20" s="17" t="s">
        <v>956</v>
      </c>
      <c r="I20" s="51" t="s">
        <v>4</v>
      </c>
    </row>
    <row r="21" spans="1:9" ht="29" x14ac:dyDescent="0.35">
      <c r="A21" t="s">
        <v>150</v>
      </c>
      <c r="B21" s="17" t="s">
        <v>957</v>
      </c>
      <c r="C21" t="s">
        <v>891</v>
      </c>
      <c r="D21" t="s">
        <v>368</v>
      </c>
      <c r="E21" s="17" t="s">
        <v>958</v>
      </c>
      <c r="F21" s="17" t="s">
        <v>959</v>
      </c>
      <c r="G21" s="17" t="s">
        <v>960</v>
      </c>
      <c r="H21" s="17" t="s">
        <v>961</v>
      </c>
      <c r="I21" s="51" t="s">
        <v>4</v>
      </c>
    </row>
    <row r="22" spans="1:9" ht="29" x14ac:dyDescent="0.35">
      <c r="A22" t="s">
        <v>157</v>
      </c>
      <c r="B22" s="17" t="s">
        <v>962</v>
      </c>
      <c r="C22" t="s">
        <v>891</v>
      </c>
      <c r="D22" t="s">
        <v>368</v>
      </c>
      <c r="E22" s="17" t="s">
        <v>963</v>
      </c>
      <c r="F22" s="17" t="s">
        <v>964</v>
      </c>
      <c r="G22" s="17" t="s">
        <v>965</v>
      </c>
      <c r="H22" s="17" t="s">
        <v>966</v>
      </c>
      <c r="I22" s="51" t="s">
        <v>4</v>
      </c>
    </row>
    <row r="23" spans="1:9" ht="29" x14ac:dyDescent="0.35">
      <c r="A23" t="s">
        <v>163</v>
      </c>
      <c r="B23" s="17" t="s">
        <v>967</v>
      </c>
      <c r="C23" t="s">
        <v>891</v>
      </c>
      <c r="D23" t="s">
        <v>368</v>
      </c>
      <c r="E23" s="17" t="s">
        <v>963</v>
      </c>
      <c r="F23" s="17" t="s">
        <v>968</v>
      </c>
      <c r="G23" s="17" t="s">
        <v>969</v>
      </c>
      <c r="H23" s="17" t="s">
        <v>970</v>
      </c>
      <c r="I23" s="51" t="s">
        <v>4</v>
      </c>
    </row>
    <row r="24" spans="1:9" ht="29" x14ac:dyDescent="0.35">
      <c r="A24" t="s">
        <v>299</v>
      </c>
      <c r="B24" s="17" t="s">
        <v>971</v>
      </c>
      <c r="C24" t="s">
        <v>891</v>
      </c>
      <c r="D24" t="s">
        <v>368</v>
      </c>
      <c r="E24" s="17" t="s">
        <v>963</v>
      </c>
      <c r="F24" s="17" t="s">
        <v>972</v>
      </c>
      <c r="G24" s="40" t="s">
        <v>973</v>
      </c>
      <c r="H24" s="17" t="s">
        <v>974</v>
      </c>
      <c r="I24" s="51" t="s">
        <v>4</v>
      </c>
    </row>
    <row r="25" spans="1:9" ht="29" x14ac:dyDescent="0.35">
      <c r="A25" t="s">
        <v>306</v>
      </c>
      <c r="B25" s="17" t="s">
        <v>975</v>
      </c>
      <c r="C25" t="s">
        <v>891</v>
      </c>
      <c r="D25" t="s">
        <v>294</v>
      </c>
      <c r="E25" s="17" t="s">
        <v>958</v>
      </c>
      <c r="F25" s="17" t="s">
        <v>976</v>
      </c>
      <c r="G25" s="17" t="s">
        <v>977</v>
      </c>
      <c r="H25" s="17" t="s">
        <v>978</v>
      </c>
      <c r="I25" s="51" t="s">
        <v>4</v>
      </c>
    </row>
    <row r="26" spans="1:9" ht="29" x14ac:dyDescent="0.35">
      <c r="A26" t="s">
        <v>312</v>
      </c>
      <c r="B26" s="17" t="s">
        <v>979</v>
      </c>
      <c r="C26" t="s">
        <v>891</v>
      </c>
      <c r="D26" t="s">
        <v>294</v>
      </c>
      <c r="E26" s="17" t="s">
        <v>980</v>
      </c>
      <c r="F26" s="17" t="s">
        <v>981</v>
      </c>
      <c r="G26" s="17" t="s">
        <v>982</v>
      </c>
      <c r="H26" s="17" t="s">
        <v>983</v>
      </c>
      <c r="I26" s="51" t="s">
        <v>4</v>
      </c>
    </row>
    <row r="27" spans="1:9" ht="43.5" x14ac:dyDescent="0.35">
      <c r="A27" t="s">
        <v>465</v>
      </c>
      <c r="B27" s="17" t="s">
        <v>984</v>
      </c>
      <c r="C27" t="s">
        <v>891</v>
      </c>
      <c r="D27" t="s">
        <v>294</v>
      </c>
      <c r="E27" s="17" t="s">
        <v>980</v>
      </c>
      <c r="F27" s="17" t="s">
        <v>985</v>
      </c>
      <c r="G27" s="17" t="s">
        <v>986</v>
      </c>
      <c r="H27" s="17" t="s">
        <v>987</v>
      </c>
      <c r="I27" s="51" t="s">
        <v>4</v>
      </c>
    </row>
    <row r="28" spans="1:9" ht="43.5" x14ac:dyDescent="0.35">
      <c r="A28" t="s">
        <v>471</v>
      </c>
      <c r="B28" s="17" t="s">
        <v>988</v>
      </c>
      <c r="C28" t="s">
        <v>891</v>
      </c>
      <c r="D28" t="s">
        <v>294</v>
      </c>
      <c r="E28" s="17" t="s">
        <v>989</v>
      </c>
      <c r="F28" s="17" t="s">
        <v>990</v>
      </c>
      <c r="G28" s="17" t="s">
        <v>991</v>
      </c>
      <c r="H28" s="17" t="s">
        <v>992</v>
      </c>
      <c r="I28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63" priority="11" operator="containsText" text="Passed">
      <formula>NOT(ISERROR(SEARCH(("Passed"),(G1))))</formula>
    </cfRule>
    <cfRule type="containsText" dxfId="262" priority="12" operator="containsText" text="Failed">
      <formula>NOT(ISERROR(SEARCH(("Failed"),(G1))))</formula>
    </cfRule>
    <cfRule type="containsText" dxfId="261" priority="13" operator="containsText" text="Incomplete">
      <formula>NOT(ISERROR(SEARCH(("Incomplete"),(G1))))</formula>
    </cfRule>
  </conditionalFormatting>
  <conditionalFormatting sqref="I6:I28">
    <cfRule type="containsText" dxfId="260" priority="1" operator="containsText" text="Passed">
      <formula>NOT(ISERROR(SEARCH(("Passed"),(I6))))</formula>
    </cfRule>
    <cfRule type="containsText" dxfId="259" priority="2" operator="containsText" text="Failed">
      <formula>NOT(ISERROR(SEARCH(("Failed"),(I6))))</formula>
    </cfRule>
    <cfRule type="containsText" dxfId="258" priority="3" operator="containsText" text="Bug ok">
      <formula>NOT(ISERROR(SEARCH(("Bug ok"),(I6))))</formula>
    </cfRule>
    <cfRule type="containsText" dxfId="257" priority="4" operator="containsText" text="Blocked">
      <formula>NOT(ISERROR(SEARCH(("Blocked"),(I6))))</formula>
    </cfRule>
    <cfRule type="containsText" dxfId="256" priority="5" operator="containsText" text="Cannot run">
      <formula>NOT(ISERROR(SEARCH(("Cannot run"),(J6))))</formula>
    </cfRule>
  </conditionalFormatting>
  <dataValidations count="1">
    <dataValidation type="list" allowBlank="1" showErrorMessage="1" sqref="I6:I28" xr:uid="{1D690093-B835-41FB-A745-51649BABD433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208F-A83E-4BF6-9123-291487352F06}">
  <dimension ref="A1:J29"/>
  <sheetViews>
    <sheetView workbookViewId="0">
      <selection sqref="A1:A3"/>
    </sheetView>
  </sheetViews>
  <sheetFormatPr defaultRowHeight="14.5" x14ac:dyDescent="0.35"/>
  <cols>
    <col min="1" max="1" width="44.453125" customWidth="1"/>
    <col min="2" max="2" width="18.26953125" customWidth="1"/>
    <col min="3" max="3" width="37.81640625" customWidth="1"/>
    <col min="4" max="4" width="16.26953125" customWidth="1"/>
    <col min="5" max="5" width="44" customWidth="1"/>
    <col min="6" max="6" width="21.453125" customWidth="1"/>
    <col min="7" max="7" width="20.453125" customWidth="1"/>
    <col min="8" max="8" width="26.1796875" customWidth="1"/>
    <col min="9" max="9" width="22" customWidth="1"/>
    <col min="10" max="10" width="24.81640625" customWidth="1"/>
  </cols>
  <sheetData>
    <row r="1" spans="1:10" ht="15.75" customHeight="1" x14ac:dyDescent="0.35">
      <c r="A1" s="76"/>
      <c r="B1" s="97" t="s">
        <v>2</v>
      </c>
      <c r="C1" s="90"/>
      <c r="D1" s="98" t="s">
        <v>888</v>
      </c>
      <c r="E1" s="92"/>
      <c r="F1" s="99"/>
      <c r="G1" s="52" t="s">
        <v>52</v>
      </c>
      <c r="H1" s="42" t="s">
        <v>4</v>
      </c>
      <c r="I1" s="53" t="s">
        <v>5</v>
      </c>
      <c r="J1" s="54" t="s">
        <v>6</v>
      </c>
    </row>
    <row r="2" spans="1:10" ht="18" customHeight="1" x14ac:dyDescent="0.35">
      <c r="A2" s="76"/>
      <c r="B2" s="97" t="s">
        <v>53</v>
      </c>
      <c r="C2" s="90"/>
      <c r="D2" s="98" t="s">
        <v>889</v>
      </c>
      <c r="E2" s="92"/>
      <c r="F2" s="94"/>
      <c r="G2" s="55">
        <f>COUNTIF(A6:A56,"TC-??")</f>
        <v>24</v>
      </c>
      <c r="H2" s="46">
        <f>COUNTIF(I4:I913,"Đạt")</f>
        <v>24</v>
      </c>
      <c r="I2" s="56">
        <f>COUNTIF(G4:G913,"Không Đạt")</f>
        <v>0</v>
      </c>
      <c r="J2" s="56">
        <f>COUNTIF(G4:G913,"Chưa Xong")</f>
        <v>0</v>
      </c>
    </row>
    <row r="3" spans="1:10" ht="18" customHeight="1" x14ac:dyDescent="0.35">
      <c r="A3" s="76"/>
      <c r="B3" s="97" t="s">
        <v>55</v>
      </c>
      <c r="C3" s="90"/>
      <c r="D3" s="100">
        <v>46057</v>
      </c>
      <c r="E3" s="92"/>
      <c r="F3" s="95"/>
      <c r="G3" s="57">
        <f>SUM(H3+I3+J3)</f>
        <v>1</v>
      </c>
      <c r="H3" s="48">
        <f>H2/G2</f>
        <v>1</v>
      </c>
      <c r="I3" s="58">
        <f>I2/G2</f>
        <v>0</v>
      </c>
      <c r="J3" s="57">
        <f>J2/G2</f>
        <v>0</v>
      </c>
    </row>
    <row r="4" spans="1:10" x14ac:dyDescent="0.35">
      <c r="H4" s="17"/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58" x14ac:dyDescent="0.35">
      <c r="A6" t="s">
        <v>65</v>
      </c>
      <c r="B6" s="17" t="s">
        <v>993</v>
      </c>
      <c r="C6" t="s">
        <v>994</v>
      </c>
      <c r="D6" s="17" t="s">
        <v>205</v>
      </c>
      <c r="E6" t="s">
        <v>320</v>
      </c>
      <c r="F6" s="17" t="s">
        <v>893</v>
      </c>
      <c r="G6" s="17" t="s">
        <v>995</v>
      </c>
      <c r="H6" s="17" t="s">
        <v>996</v>
      </c>
      <c r="I6" s="51" t="s">
        <v>4</v>
      </c>
    </row>
    <row r="7" spans="1:10" ht="72.5" x14ac:dyDescent="0.35">
      <c r="A7" t="s">
        <v>72</v>
      </c>
      <c r="B7" s="17" t="s">
        <v>997</v>
      </c>
      <c r="C7" t="s">
        <v>994</v>
      </c>
      <c r="D7" s="17" t="s">
        <v>224</v>
      </c>
      <c r="E7" t="s">
        <v>998</v>
      </c>
      <c r="F7" s="17" t="s">
        <v>999</v>
      </c>
      <c r="G7" s="17" t="s">
        <v>214</v>
      </c>
      <c r="H7" s="17" t="s">
        <v>1000</v>
      </c>
      <c r="I7" s="51" t="s">
        <v>4</v>
      </c>
    </row>
    <row r="8" spans="1:10" ht="43.5" x14ac:dyDescent="0.35">
      <c r="A8" t="s">
        <v>77</v>
      </c>
      <c r="B8" s="17" t="s">
        <v>1001</v>
      </c>
      <c r="C8" t="s">
        <v>994</v>
      </c>
      <c r="D8" s="17" t="s">
        <v>1002</v>
      </c>
      <c r="E8" t="s">
        <v>814</v>
      </c>
      <c r="F8" s="17" t="s">
        <v>1003</v>
      </c>
      <c r="G8" s="17" t="s">
        <v>1004</v>
      </c>
      <c r="H8" s="17" t="s">
        <v>1005</v>
      </c>
      <c r="I8" s="51" t="s">
        <v>4</v>
      </c>
    </row>
    <row r="9" spans="1:10" ht="58" x14ac:dyDescent="0.35">
      <c r="A9" t="s">
        <v>83</v>
      </c>
      <c r="B9" s="17" t="s">
        <v>1006</v>
      </c>
      <c r="C9" t="s">
        <v>994</v>
      </c>
      <c r="D9" s="17" t="s">
        <v>217</v>
      </c>
      <c r="E9" t="s">
        <v>1007</v>
      </c>
      <c r="F9" s="17" t="s">
        <v>1008</v>
      </c>
      <c r="G9" s="40" t="s">
        <v>1009</v>
      </c>
      <c r="H9" s="17" t="s">
        <v>1010</v>
      </c>
      <c r="I9" s="51" t="s">
        <v>4</v>
      </c>
    </row>
    <row r="10" spans="1:10" ht="72.5" x14ac:dyDescent="0.35">
      <c r="A10" t="s">
        <v>88</v>
      </c>
      <c r="B10" s="17" t="s">
        <v>1011</v>
      </c>
      <c r="C10" t="s">
        <v>994</v>
      </c>
      <c r="D10" s="17" t="s">
        <v>224</v>
      </c>
      <c r="E10" s="17" t="s">
        <v>225</v>
      </c>
      <c r="F10" t="s">
        <v>1012</v>
      </c>
      <c r="G10" s="17" t="s">
        <v>1013</v>
      </c>
      <c r="H10" s="17" t="s">
        <v>1014</v>
      </c>
      <c r="I10" s="51" t="s">
        <v>4</v>
      </c>
    </row>
    <row r="11" spans="1:10" ht="58" x14ac:dyDescent="0.35">
      <c r="A11" t="s">
        <v>233</v>
      </c>
      <c r="B11" s="17" t="s">
        <v>1015</v>
      </c>
      <c r="C11" t="s">
        <v>994</v>
      </c>
      <c r="D11" s="17" t="s">
        <v>224</v>
      </c>
      <c r="E11" s="17" t="s">
        <v>225</v>
      </c>
      <c r="F11" t="s">
        <v>1016</v>
      </c>
      <c r="G11" s="17" t="s">
        <v>1017</v>
      </c>
      <c r="H11" s="17" t="s">
        <v>1018</v>
      </c>
      <c r="I11" s="51" t="s">
        <v>4</v>
      </c>
    </row>
    <row r="12" spans="1:10" ht="58" x14ac:dyDescent="0.35">
      <c r="A12" t="s">
        <v>93</v>
      </c>
      <c r="B12" s="17" t="s">
        <v>1019</v>
      </c>
      <c r="C12" t="s">
        <v>994</v>
      </c>
      <c r="D12" s="17" t="s">
        <v>224</v>
      </c>
      <c r="E12" s="17" t="s">
        <v>225</v>
      </c>
      <c r="F12" t="s">
        <v>1020</v>
      </c>
      <c r="G12" s="17" t="s">
        <v>1021</v>
      </c>
      <c r="H12" s="17" t="s">
        <v>1022</v>
      </c>
      <c r="I12" s="51" t="s">
        <v>4</v>
      </c>
    </row>
    <row r="13" spans="1:10" ht="145" x14ac:dyDescent="0.35">
      <c r="A13" t="s">
        <v>98</v>
      </c>
      <c r="B13" s="17" t="s">
        <v>1023</v>
      </c>
      <c r="C13" t="s">
        <v>994</v>
      </c>
      <c r="D13" s="17" t="s">
        <v>246</v>
      </c>
      <c r="E13" t="s">
        <v>1024</v>
      </c>
      <c r="F13" s="17" t="s">
        <v>1025</v>
      </c>
      <c r="G13" s="17" t="s">
        <v>1026</v>
      </c>
      <c r="H13" s="17" t="s">
        <v>1027</v>
      </c>
      <c r="I13" s="51" t="s">
        <v>4</v>
      </c>
    </row>
    <row r="14" spans="1:10" ht="72.5" x14ac:dyDescent="0.35">
      <c r="A14" t="s">
        <v>105</v>
      </c>
      <c r="B14" s="17" t="s">
        <v>1028</v>
      </c>
      <c r="C14" t="s">
        <v>994</v>
      </c>
      <c r="D14" s="17" t="s">
        <v>246</v>
      </c>
      <c r="E14" t="s">
        <v>1029</v>
      </c>
      <c r="F14" s="17" t="s">
        <v>1030</v>
      </c>
      <c r="G14" s="40" t="s">
        <v>1031</v>
      </c>
      <c r="H14" s="17" t="s">
        <v>1032</v>
      </c>
      <c r="I14" s="51" t="s">
        <v>4</v>
      </c>
    </row>
    <row r="15" spans="1:10" ht="43.5" x14ac:dyDescent="0.35">
      <c r="A15" t="s">
        <v>113</v>
      </c>
      <c r="B15" s="17" t="s">
        <v>1033</v>
      </c>
      <c r="C15" t="s">
        <v>994</v>
      </c>
      <c r="D15" s="17" t="s">
        <v>246</v>
      </c>
      <c r="E15" t="s">
        <v>1029</v>
      </c>
      <c r="F15" s="17" t="s">
        <v>1034</v>
      </c>
      <c r="G15" s="17" t="s">
        <v>1035</v>
      </c>
      <c r="H15" s="17" t="s">
        <v>1036</v>
      </c>
      <c r="I15" s="51" t="s">
        <v>4</v>
      </c>
    </row>
    <row r="16" spans="1:10" ht="43.5" x14ac:dyDescent="0.35">
      <c r="A16" t="s">
        <v>119</v>
      </c>
      <c r="B16" s="17" t="s">
        <v>1037</v>
      </c>
      <c r="C16" t="s">
        <v>994</v>
      </c>
      <c r="D16" s="17" t="s">
        <v>246</v>
      </c>
      <c r="E16" t="s">
        <v>1038</v>
      </c>
      <c r="F16" s="17" t="s">
        <v>1039</v>
      </c>
      <c r="G16" s="40" t="s">
        <v>1040</v>
      </c>
      <c r="H16" s="17" t="s">
        <v>1041</v>
      </c>
      <c r="I16" s="51" t="s">
        <v>4</v>
      </c>
    </row>
    <row r="17" spans="1:9" ht="58" x14ac:dyDescent="0.35">
      <c r="A17" t="s">
        <v>125</v>
      </c>
      <c r="B17" s="17" t="s">
        <v>1042</v>
      </c>
      <c r="C17" t="s">
        <v>994</v>
      </c>
      <c r="D17" s="17" t="s">
        <v>246</v>
      </c>
      <c r="E17" t="s">
        <v>1029</v>
      </c>
      <c r="F17" s="17" t="s">
        <v>1043</v>
      </c>
      <c r="G17" s="40" t="s">
        <v>1044</v>
      </c>
      <c r="H17" s="17" t="s">
        <v>1045</v>
      </c>
      <c r="I17" s="51" t="s">
        <v>4</v>
      </c>
    </row>
    <row r="18" spans="1:9" ht="58" x14ac:dyDescent="0.35">
      <c r="A18" t="s">
        <v>132</v>
      </c>
      <c r="B18" s="17" t="s">
        <v>1046</v>
      </c>
      <c r="C18" t="s">
        <v>994</v>
      </c>
      <c r="D18" s="17" t="s">
        <v>246</v>
      </c>
      <c r="E18" t="s">
        <v>1029</v>
      </c>
      <c r="F18" s="17" t="s">
        <v>1047</v>
      </c>
      <c r="G18" s="17" t="s">
        <v>1048</v>
      </c>
      <c r="H18" s="17" t="s">
        <v>1049</v>
      </c>
      <c r="I18" s="51" t="s">
        <v>4</v>
      </c>
    </row>
    <row r="19" spans="1:9" ht="43.5" x14ac:dyDescent="0.35">
      <c r="A19" t="s">
        <v>138</v>
      </c>
      <c r="B19" s="17" t="s">
        <v>1050</v>
      </c>
      <c r="C19" t="s">
        <v>994</v>
      </c>
      <c r="D19" s="17" t="s">
        <v>368</v>
      </c>
      <c r="E19" t="s">
        <v>1051</v>
      </c>
      <c r="F19" s="17" t="s">
        <v>1052</v>
      </c>
      <c r="G19" s="17" t="s">
        <v>1053</v>
      </c>
      <c r="H19" s="17" t="s">
        <v>1054</v>
      </c>
      <c r="I19" s="51" t="s">
        <v>4</v>
      </c>
    </row>
    <row r="20" spans="1:9" ht="43.5" x14ac:dyDescent="0.35">
      <c r="A20" t="s">
        <v>144</v>
      </c>
      <c r="B20" s="17" t="s">
        <v>1055</v>
      </c>
      <c r="C20" t="s">
        <v>994</v>
      </c>
      <c r="D20" s="17" t="s">
        <v>368</v>
      </c>
      <c r="E20" t="s">
        <v>1056</v>
      </c>
      <c r="F20" s="17" t="s">
        <v>1057</v>
      </c>
      <c r="G20" s="17" t="s">
        <v>1058</v>
      </c>
      <c r="H20" s="17" t="s">
        <v>1059</v>
      </c>
      <c r="I20" s="51" t="s">
        <v>4</v>
      </c>
    </row>
    <row r="21" spans="1:9" ht="72.5" x14ac:dyDescent="0.35">
      <c r="A21" t="s">
        <v>150</v>
      </c>
      <c r="B21" s="17" t="s">
        <v>1060</v>
      </c>
      <c r="C21" t="s">
        <v>994</v>
      </c>
      <c r="D21" s="17" t="s">
        <v>368</v>
      </c>
      <c r="E21" t="s">
        <v>1056</v>
      </c>
      <c r="F21" s="17" t="s">
        <v>1061</v>
      </c>
      <c r="G21" s="17" t="s">
        <v>1062</v>
      </c>
      <c r="H21" s="17" t="s">
        <v>1063</v>
      </c>
      <c r="I21" s="51" t="s">
        <v>4</v>
      </c>
    </row>
    <row r="22" spans="1:9" ht="58" x14ac:dyDescent="0.35">
      <c r="A22" t="s">
        <v>157</v>
      </c>
      <c r="B22" s="17" t="s">
        <v>1064</v>
      </c>
      <c r="C22" t="s">
        <v>994</v>
      </c>
      <c r="D22" s="17" t="s">
        <v>368</v>
      </c>
      <c r="E22" t="s">
        <v>1065</v>
      </c>
      <c r="F22" s="17" t="s">
        <v>1066</v>
      </c>
      <c r="G22" s="17" t="s">
        <v>1067</v>
      </c>
      <c r="H22" s="17" t="s">
        <v>1068</v>
      </c>
      <c r="I22" s="51" t="s">
        <v>4</v>
      </c>
    </row>
    <row r="23" spans="1:9" ht="43.5" x14ac:dyDescent="0.35">
      <c r="A23" t="s">
        <v>163</v>
      </c>
      <c r="B23" s="17" t="s">
        <v>1069</v>
      </c>
      <c r="C23" t="s">
        <v>994</v>
      </c>
      <c r="D23" s="17" t="s">
        <v>368</v>
      </c>
      <c r="E23" t="s">
        <v>1056</v>
      </c>
      <c r="F23" s="17" t="s">
        <v>1070</v>
      </c>
      <c r="G23" s="17" t="s">
        <v>1071</v>
      </c>
      <c r="H23" s="17" t="s">
        <v>1072</v>
      </c>
      <c r="I23" s="51" t="s">
        <v>4</v>
      </c>
    </row>
    <row r="24" spans="1:9" ht="43.5" x14ac:dyDescent="0.35">
      <c r="A24" t="s">
        <v>299</v>
      </c>
      <c r="B24" s="17" t="s">
        <v>1073</v>
      </c>
      <c r="C24" t="s">
        <v>994</v>
      </c>
      <c r="D24" s="17" t="s">
        <v>294</v>
      </c>
      <c r="E24" t="s">
        <v>1074</v>
      </c>
      <c r="F24" s="17" t="s">
        <v>985</v>
      </c>
      <c r="G24" s="17" t="s">
        <v>1075</v>
      </c>
      <c r="H24" s="17" t="s">
        <v>1076</v>
      </c>
      <c r="I24" s="51" t="s">
        <v>4</v>
      </c>
    </row>
    <row r="25" spans="1:9" ht="43.5" x14ac:dyDescent="0.35">
      <c r="A25" t="s">
        <v>306</v>
      </c>
      <c r="B25" s="17" t="s">
        <v>1077</v>
      </c>
      <c r="C25" t="s">
        <v>994</v>
      </c>
      <c r="D25" s="17" t="s">
        <v>294</v>
      </c>
      <c r="E25" t="s">
        <v>1078</v>
      </c>
      <c r="F25" s="17" t="s">
        <v>1079</v>
      </c>
      <c r="G25" s="17" t="s">
        <v>1080</v>
      </c>
      <c r="H25" s="17" t="s">
        <v>1081</v>
      </c>
      <c r="I25" s="51" t="s">
        <v>4</v>
      </c>
    </row>
    <row r="26" spans="1:9" ht="58" x14ac:dyDescent="0.35">
      <c r="A26" t="s">
        <v>312</v>
      </c>
      <c r="B26" s="17" t="s">
        <v>1082</v>
      </c>
      <c r="C26" t="s">
        <v>994</v>
      </c>
      <c r="D26" s="17" t="s">
        <v>294</v>
      </c>
      <c r="E26" t="s">
        <v>1083</v>
      </c>
      <c r="F26" s="17" t="s">
        <v>1084</v>
      </c>
      <c r="G26" s="17" t="s">
        <v>1085</v>
      </c>
      <c r="H26" s="17" t="s">
        <v>1086</v>
      </c>
      <c r="I26" s="51" t="s">
        <v>4</v>
      </c>
    </row>
    <row r="27" spans="1:9" ht="145" x14ac:dyDescent="0.35">
      <c r="A27" t="s">
        <v>465</v>
      </c>
      <c r="B27" s="17" t="s">
        <v>1087</v>
      </c>
      <c r="C27" t="s">
        <v>994</v>
      </c>
      <c r="D27" s="17" t="s">
        <v>1088</v>
      </c>
      <c r="E27" t="s">
        <v>1089</v>
      </c>
      <c r="F27" s="17" t="s">
        <v>1090</v>
      </c>
      <c r="G27" s="17" t="s">
        <v>1091</v>
      </c>
      <c r="H27" s="17" t="s">
        <v>1092</v>
      </c>
      <c r="I27" s="51" t="s">
        <v>4</v>
      </c>
    </row>
    <row r="28" spans="1:9" ht="43.5" x14ac:dyDescent="0.35">
      <c r="A28" t="s">
        <v>471</v>
      </c>
      <c r="B28" s="17" t="s">
        <v>1093</v>
      </c>
      <c r="C28" t="s">
        <v>994</v>
      </c>
      <c r="D28" s="17" t="s">
        <v>854</v>
      </c>
      <c r="E28" t="s">
        <v>1094</v>
      </c>
      <c r="F28" s="17" t="s">
        <v>1095</v>
      </c>
      <c r="G28" s="17" t="s">
        <v>1096</v>
      </c>
      <c r="H28" s="17" t="s">
        <v>1097</v>
      </c>
      <c r="I28" s="51" t="s">
        <v>4</v>
      </c>
    </row>
    <row r="29" spans="1:9" ht="58" x14ac:dyDescent="0.35">
      <c r="A29" t="s">
        <v>474</v>
      </c>
      <c r="B29" s="17" t="s">
        <v>1098</v>
      </c>
      <c r="C29" t="s">
        <v>994</v>
      </c>
      <c r="D29" s="17" t="s">
        <v>854</v>
      </c>
      <c r="E29" t="s">
        <v>1099</v>
      </c>
      <c r="F29" s="17" t="s">
        <v>1100</v>
      </c>
      <c r="G29" s="17" t="s">
        <v>1101</v>
      </c>
      <c r="H29" s="17" t="s">
        <v>1102</v>
      </c>
      <c r="I29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55" priority="6" operator="containsText" text="Passed">
      <formula>NOT(ISERROR(SEARCH(("Passed"),(G1))))</formula>
    </cfRule>
    <cfRule type="containsText" dxfId="254" priority="7" operator="containsText" text="Failed">
      <formula>NOT(ISERROR(SEARCH(("Failed"),(G1))))</formula>
    </cfRule>
    <cfRule type="containsText" dxfId="253" priority="8" operator="containsText" text="Incomplete">
      <formula>NOT(ISERROR(SEARCH(("Incomplete"),(G1))))</formula>
    </cfRule>
  </conditionalFormatting>
  <conditionalFormatting sqref="I6:I29">
    <cfRule type="containsText" dxfId="252" priority="1" operator="containsText" text="Passed">
      <formula>NOT(ISERROR(SEARCH(("Passed"),(I6))))</formula>
    </cfRule>
    <cfRule type="containsText" dxfId="251" priority="2" operator="containsText" text="Failed">
      <formula>NOT(ISERROR(SEARCH(("Failed"),(I6))))</formula>
    </cfRule>
    <cfRule type="containsText" dxfId="250" priority="3" operator="containsText" text="Bug ok">
      <formula>NOT(ISERROR(SEARCH(("Bug ok"),(I6))))</formula>
    </cfRule>
    <cfRule type="containsText" dxfId="249" priority="4" operator="containsText" text="Blocked">
      <formula>NOT(ISERROR(SEARCH(("Blocked"),(I6))))</formula>
    </cfRule>
    <cfRule type="containsText" dxfId="248" priority="5" operator="containsText" text="Cannot run">
      <formula>NOT(ISERROR(SEARCH(("Cannot run"),(J6))))</formula>
    </cfRule>
  </conditionalFormatting>
  <dataValidations count="1">
    <dataValidation type="list" allowBlank="1" showErrorMessage="1" sqref="I6:I29" xr:uid="{04ABBA3A-B417-4EBE-BE51-EA1211EFF6EF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976B-22BB-49BC-B860-9D3E27A48520}">
  <dimension ref="A1:J13"/>
  <sheetViews>
    <sheetView topLeftCell="C1" workbookViewId="0">
      <selection activeCell="H3" sqref="H3"/>
    </sheetView>
  </sheetViews>
  <sheetFormatPr defaultRowHeight="14.5" x14ac:dyDescent="0.35"/>
  <cols>
    <col min="1" max="1" width="38" customWidth="1"/>
    <col min="2" max="10" width="27.453125" customWidth="1"/>
  </cols>
  <sheetData>
    <row r="1" spans="1:10" ht="15.5" x14ac:dyDescent="0.35">
      <c r="A1" s="76"/>
      <c r="B1" s="85" t="s">
        <v>2</v>
      </c>
      <c r="C1" s="78"/>
      <c r="D1" s="86" t="s">
        <v>1103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COUNTIF(A6:A69,"TC-??")</f>
        <v>8</v>
      </c>
      <c r="H2" s="14">
        <f>COUNTIF(I4:I844,"Đạt")</f>
        <v>8</v>
      </c>
      <c r="I2" s="6">
        <f>COUNTIF(G4:G926,"Không Đạt")</f>
        <v>0</v>
      </c>
      <c r="J2" s="6">
        <f>COUNTIF(G4:G926,"Chưa Xong")</f>
        <v>0</v>
      </c>
    </row>
    <row r="3" spans="1:10" ht="18" x14ac:dyDescent="0.35">
      <c r="A3" s="76"/>
      <c r="B3" s="85" t="s">
        <v>55</v>
      </c>
      <c r="C3" s="78"/>
      <c r="D3" s="88">
        <v>45982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1104</v>
      </c>
      <c r="C6" s="17" t="s">
        <v>1105</v>
      </c>
      <c r="D6" s="17" t="s">
        <v>224</v>
      </c>
      <c r="E6" s="17" t="s">
        <v>320</v>
      </c>
      <c r="F6" s="17" t="s">
        <v>1106</v>
      </c>
      <c r="G6" s="17" t="s">
        <v>1107</v>
      </c>
      <c r="H6" s="17" t="s">
        <v>1108</v>
      </c>
      <c r="I6" s="31" t="s">
        <v>4</v>
      </c>
    </row>
    <row r="7" spans="1:10" ht="43.5" x14ac:dyDescent="0.35">
      <c r="A7" s="17" t="s">
        <v>72</v>
      </c>
      <c r="B7" s="17" t="s">
        <v>1109</v>
      </c>
      <c r="C7" s="17" t="s">
        <v>1105</v>
      </c>
      <c r="D7" s="17" t="s">
        <v>1110</v>
      </c>
      <c r="E7" s="17" t="s">
        <v>1111</v>
      </c>
      <c r="F7" s="17" t="s">
        <v>1112</v>
      </c>
      <c r="G7" s="17" t="s">
        <v>1113</v>
      </c>
      <c r="H7" s="17" t="s">
        <v>1114</v>
      </c>
      <c r="I7" s="31" t="s">
        <v>4</v>
      </c>
    </row>
    <row r="8" spans="1:10" ht="43.5" x14ac:dyDescent="0.35">
      <c r="A8" s="17" t="s">
        <v>77</v>
      </c>
      <c r="B8" s="17" t="s">
        <v>1115</v>
      </c>
      <c r="C8" s="17" t="s">
        <v>1105</v>
      </c>
      <c r="D8" s="17" t="s">
        <v>1116</v>
      </c>
      <c r="E8" s="17" t="s">
        <v>1117</v>
      </c>
      <c r="F8" s="17" t="s">
        <v>1118</v>
      </c>
      <c r="G8" s="17" t="s">
        <v>1119</v>
      </c>
      <c r="H8" s="17" t="s">
        <v>1120</v>
      </c>
      <c r="I8" s="31" t="s">
        <v>4</v>
      </c>
    </row>
    <row r="9" spans="1:10" ht="58" x14ac:dyDescent="0.35">
      <c r="A9" s="17" t="s">
        <v>83</v>
      </c>
      <c r="B9" s="17" t="s">
        <v>1121</v>
      </c>
      <c r="C9" s="17" t="s">
        <v>1105</v>
      </c>
      <c r="D9" s="17" t="s">
        <v>1122</v>
      </c>
      <c r="E9" s="17" t="s">
        <v>1123</v>
      </c>
      <c r="F9" s="17" t="s">
        <v>1124</v>
      </c>
      <c r="G9" s="17" t="s">
        <v>1125</v>
      </c>
      <c r="H9" s="17" t="s">
        <v>1126</v>
      </c>
      <c r="I9" s="31" t="s">
        <v>4</v>
      </c>
    </row>
    <row r="10" spans="1:10" ht="43.5" x14ac:dyDescent="0.35">
      <c r="A10" s="17" t="s">
        <v>88</v>
      </c>
      <c r="B10" s="17" t="s">
        <v>1127</v>
      </c>
      <c r="C10" s="17" t="s">
        <v>1105</v>
      </c>
      <c r="D10" s="17" t="s">
        <v>1128</v>
      </c>
      <c r="E10" s="17" t="s">
        <v>1129</v>
      </c>
      <c r="F10" s="17" t="s">
        <v>1130</v>
      </c>
      <c r="G10" s="17" t="s">
        <v>1131</v>
      </c>
      <c r="H10" s="17" t="s">
        <v>1132</v>
      </c>
      <c r="I10" s="31" t="s">
        <v>4</v>
      </c>
    </row>
    <row r="11" spans="1:10" ht="43.5" x14ac:dyDescent="0.35">
      <c r="A11" s="17" t="s">
        <v>233</v>
      </c>
      <c r="B11" s="17" t="s">
        <v>1133</v>
      </c>
      <c r="C11" s="17" t="s">
        <v>1105</v>
      </c>
      <c r="D11" s="17" t="s">
        <v>1134</v>
      </c>
      <c r="E11" s="17" t="s">
        <v>1135</v>
      </c>
      <c r="F11" s="17" t="s">
        <v>1136</v>
      </c>
      <c r="G11" s="17" t="s">
        <v>1137</v>
      </c>
      <c r="H11" s="17" t="s">
        <v>1138</v>
      </c>
      <c r="I11" s="31" t="s">
        <v>4</v>
      </c>
    </row>
    <row r="12" spans="1:10" ht="43.5" x14ac:dyDescent="0.35">
      <c r="A12" s="17" t="s">
        <v>93</v>
      </c>
      <c r="B12" s="17" t="s">
        <v>1139</v>
      </c>
      <c r="C12" s="17" t="s">
        <v>1105</v>
      </c>
      <c r="D12" s="17" t="s">
        <v>1134</v>
      </c>
      <c r="E12" s="17" t="s">
        <v>1140</v>
      </c>
      <c r="F12" s="17" t="s">
        <v>1141</v>
      </c>
      <c r="G12" s="17" t="s">
        <v>1142</v>
      </c>
      <c r="H12" s="17" t="s">
        <v>1143</v>
      </c>
      <c r="I12" s="31" t="s">
        <v>4</v>
      </c>
    </row>
    <row r="13" spans="1:10" ht="43.5" x14ac:dyDescent="0.35">
      <c r="A13" s="17" t="s">
        <v>98</v>
      </c>
      <c r="B13" s="17" t="s">
        <v>1144</v>
      </c>
      <c r="C13" s="17" t="s">
        <v>1105</v>
      </c>
      <c r="D13" s="17" t="s">
        <v>1145</v>
      </c>
      <c r="E13" s="17" t="s">
        <v>1146</v>
      </c>
      <c r="F13" s="17" t="s">
        <v>1147</v>
      </c>
      <c r="G13" s="17" t="s">
        <v>1148</v>
      </c>
      <c r="H13" s="17" t="s">
        <v>1149</v>
      </c>
      <c r="I13" s="3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47" priority="6" operator="containsText" text="Passed">
      <formula>NOT(ISERROR(SEARCH(("Passed"),(G1))))</formula>
    </cfRule>
    <cfRule type="containsText" dxfId="246" priority="7" operator="containsText" text="Failed">
      <formula>NOT(ISERROR(SEARCH(("Failed"),(G1))))</formula>
    </cfRule>
    <cfRule type="containsText" dxfId="245" priority="8" operator="containsText" text="Incomplete">
      <formula>NOT(ISERROR(SEARCH(("Incomplete"),(G1))))</formula>
    </cfRule>
  </conditionalFormatting>
  <conditionalFormatting sqref="I6:I13">
    <cfRule type="containsText" dxfId="244" priority="1" operator="containsText" text="Passed">
      <formula>NOT(ISERROR(SEARCH(("Passed"),(I6))))</formula>
    </cfRule>
    <cfRule type="containsText" dxfId="243" priority="2" operator="containsText" text="Failed">
      <formula>NOT(ISERROR(SEARCH(("Failed"),(I6))))</formula>
    </cfRule>
    <cfRule type="containsText" dxfId="242" priority="3" operator="containsText" text="Bug ok">
      <formula>NOT(ISERROR(SEARCH(("Bug ok"),(I6))))</formula>
    </cfRule>
    <cfRule type="containsText" dxfId="241" priority="4" operator="containsText" text="Blocked">
      <formula>NOT(ISERROR(SEARCH(("Blocked"),(I6))))</formula>
    </cfRule>
    <cfRule type="containsText" dxfId="240" priority="5" operator="containsText" text="Cannot run">
      <formula>NOT(ISERROR(SEARCH(("Cannot run"),(J6))))</formula>
    </cfRule>
  </conditionalFormatting>
  <dataValidations count="1">
    <dataValidation type="list" allowBlank="1" showErrorMessage="1" sqref="I6:I13" xr:uid="{6BF79A98-C3F9-498C-9CDA-3AF68042CC34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4A11-DB9B-4E20-91FB-DB6ED3C01136}">
  <dimension ref="A1:J13"/>
  <sheetViews>
    <sheetView workbookViewId="0">
      <selection activeCell="H3" sqref="H3"/>
    </sheetView>
  </sheetViews>
  <sheetFormatPr defaultRowHeight="14.5" x14ac:dyDescent="0.35"/>
  <cols>
    <col min="1" max="1" width="38.1796875" customWidth="1"/>
    <col min="2" max="7" width="27.453125" customWidth="1"/>
    <col min="8" max="8" width="42.26953125" customWidth="1"/>
    <col min="9" max="10" width="27.453125" customWidth="1"/>
  </cols>
  <sheetData>
    <row r="1" spans="1:10" ht="15.5" x14ac:dyDescent="0.35">
      <c r="A1" s="76"/>
      <c r="B1" s="85" t="s">
        <v>2</v>
      </c>
      <c r="C1" s="78"/>
      <c r="D1" s="86" t="s">
        <v>20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COUNTIF(A6:A68,"TC-??")</f>
        <v>8</v>
      </c>
      <c r="H2" s="14">
        <f>COUNTIF(I4:I844,"Đạt")</f>
        <v>8</v>
      </c>
      <c r="I2" s="6">
        <f>COUNTIF(G4:G925,"Không Đạt")</f>
        <v>0</v>
      </c>
      <c r="J2" s="6">
        <f>COUNTIF(G4:G925,"Chưa Xong")</f>
        <v>0</v>
      </c>
    </row>
    <row r="3" spans="1:10" ht="18" x14ac:dyDescent="0.35">
      <c r="A3" s="76"/>
      <c r="B3" s="85" t="s">
        <v>55</v>
      </c>
      <c r="C3" s="78"/>
      <c r="D3" s="88">
        <v>45982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1150</v>
      </c>
      <c r="C6" s="17" t="s">
        <v>20</v>
      </c>
      <c r="D6" s="17" t="s">
        <v>1151</v>
      </c>
      <c r="E6" s="17" t="s">
        <v>1152</v>
      </c>
      <c r="F6" s="17" t="s">
        <v>1153</v>
      </c>
      <c r="G6" s="17" t="s">
        <v>1154</v>
      </c>
      <c r="H6" s="17" t="s">
        <v>1155</v>
      </c>
      <c r="I6" s="31" t="s">
        <v>4</v>
      </c>
    </row>
    <row r="7" spans="1:10" ht="43.5" x14ac:dyDescent="0.35">
      <c r="A7" s="17" t="s">
        <v>72</v>
      </c>
      <c r="B7" s="17" t="s">
        <v>1156</v>
      </c>
      <c r="C7" s="17" t="s">
        <v>20</v>
      </c>
      <c r="D7" s="17" t="s">
        <v>1157</v>
      </c>
      <c r="E7" s="17" t="s">
        <v>1158</v>
      </c>
      <c r="F7" s="17" t="s">
        <v>1159</v>
      </c>
      <c r="G7" s="17" t="s">
        <v>1160</v>
      </c>
      <c r="H7" s="17" t="s">
        <v>1161</v>
      </c>
      <c r="I7" s="31" t="s">
        <v>4</v>
      </c>
    </row>
    <row r="8" spans="1:10" ht="43.5" x14ac:dyDescent="0.35">
      <c r="A8" s="17" t="s">
        <v>77</v>
      </c>
      <c r="B8" s="17" t="s">
        <v>1162</v>
      </c>
      <c r="C8" s="17" t="s">
        <v>20</v>
      </c>
      <c r="D8" s="17" t="s">
        <v>1163</v>
      </c>
      <c r="E8" s="17" t="s">
        <v>1164</v>
      </c>
      <c r="F8" s="17" t="s">
        <v>1165</v>
      </c>
      <c r="G8" s="17" t="s">
        <v>1166</v>
      </c>
      <c r="H8" s="17" t="s">
        <v>1167</v>
      </c>
      <c r="I8" s="31" t="s">
        <v>4</v>
      </c>
    </row>
    <row r="9" spans="1:10" ht="43.5" x14ac:dyDescent="0.35">
      <c r="A9" s="17" t="s">
        <v>83</v>
      </c>
      <c r="B9" s="17" t="s">
        <v>1168</v>
      </c>
      <c r="C9" s="17" t="s">
        <v>20</v>
      </c>
      <c r="D9" s="17" t="s">
        <v>1169</v>
      </c>
      <c r="E9" s="17" t="s">
        <v>1170</v>
      </c>
      <c r="F9" s="17" t="s">
        <v>1171</v>
      </c>
      <c r="G9" s="17" t="s">
        <v>1172</v>
      </c>
      <c r="H9" s="17" t="s">
        <v>1173</v>
      </c>
      <c r="I9" s="31" t="s">
        <v>4</v>
      </c>
    </row>
    <row r="10" spans="1:10" ht="43.5" x14ac:dyDescent="0.35">
      <c r="A10" s="17" t="s">
        <v>88</v>
      </c>
      <c r="B10" s="17" t="s">
        <v>1174</v>
      </c>
      <c r="C10" s="17" t="s">
        <v>20</v>
      </c>
      <c r="D10" s="17" t="s">
        <v>1151</v>
      </c>
      <c r="E10" s="17" t="s">
        <v>1175</v>
      </c>
      <c r="F10" s="17" t="s">
        <v>1176</v>
      </c>
      <c r="G10" s="17" t="s">
        <v>1177</v>
      </c>
      <c r="H10" s="17" t="s">
        <v>1178</v>
      </c>
      <c r="I10" s="31" t="s">
        <v>4</v>
      </c>
    </row>
    <row r="11" spans="1:10" ht="43.5" x14ac:dyDescent="0.35">
      <c r="A11" s="17" t="s">
        <v>233</v>
      </c>
      <c r="B11" s="17" t="s">
        <v>1179</v>
      </c>
      <c r="C11" s="17" t="s">
        <v>20</v>
      </c>
      <c r="D11" s="17" t="s">
        <v>1157</v>
      </c>
      <c r="E11" s="17" t="s">
        <v>1180</v>
      </c>
      <c r="F11" s="17" t="s">
        <v>1159</v>
      </c>
      <c r="G11" s="17" t="s">
        <v>1181</v>
      </c>
      <c r="H11" s="17" t="s">
        <v>1182</v>
      </c>
      <c r="I11" s="31" t="s">
        <v>4</v>
      </c>
    </row>
    <row r="12" spans="1:10" ht="43.5" x14ac:dyDescent="0.35">
      <c r="A12" s="17" t="s">
        <v>93</v>
      </c>
      <c r="B12" s="17" t="s">
        <v>1183</v>
      </c>
      <c r="C12" s="17" t="s">
        <v>20</v>
      </c>
      <c r="D12" s="17" t="s">
        <v>1163</v>
      </c>
      <c r="E12" s="17" t="s">
        <v>1184</v>
      </c>
      <c r="F12" s="17" t="s">
        <v>1165</v>
      </c>
      <c r="G12" s="17" t="s">
        <v>1185</v>
      </c>
      <c r="H12" s="17" t="s">
        <v>1186</v>
      </c>
      <c r="I12" s="31" t="s">
        <v>4</v>
      </c>
    </row>
    <row r="13" spans="1:10" ht="43.5" x14ac:dyDescent="0.35">
      <c r="A13" s="17" t="s">
        <v>98</v>
      </c>
      <c r="B13" s="17" t="s">
        <v>1187</v>
      </c>
      <c r="C13" s="17" t="s">
        <v>20</v>
      </c>
      <c r="D13" s="17" t="s">
        <v>1169</v>
      </c>
      <c r="E13" s="17" t="s">
        <v>1188</v>
      </c>
      <c r="F13" s="17" t="s">
        <v>1189</v>
      </c>
      <c r="G13" s="17" t="s">
        <v>1190</v>
      </c>
      <c r="H13" s="17" t="s">
        <v>1191</v>
      </c>
      <c r="I13" s="3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39" priority="6" operator="containsText" text="Passed">
      <formula>NOT(ISERROR(SEARCH(("Passed"),(G1))))</formula>
    </cfRule>
    <cfRule type="containsText" dxfId="238" priority="7" operator="containsText" text="Failed">
      <formula>NOT(ISERROR(SEARCH(("Failed"),(G1))))</formula>
    </cfRule>
    <cfRule type="containsText" dxfId="237" priority="8" operator="containsText" text="Incomplete">
      <formula>NOT(ISERROR(SEARCH(("Incomplete"),(G1))))</formula>
    </cfRule>
  </conditionalFormatting>
  <conditionalFormatting sqref="I6:I13">
    <cfRule type="containsText" dxfId="236" priority="1" operator="containsText" text="Passed">
      <formula>NOT(ISERROR(SEARCH(("Passed"),(I6))))</formula>
    </cfRule>
    <cfRule type="containsText" dxfId="235" priority="2" operator="containsText" text="Failed">
      <formula>NOT(ISERROR(SEARCH(("Failed"),(I6))))</formula>
    </cfRule>
    <cfRule type="containsText" dxfId="234" priority="3" operator="containsText" text="Bug ok">
      <formula>NOT(ISERROR(SEARCH(("Bug ok"),(I6))))</formula>
    </cfRule>
    <cfRule type="containsText" dxfId="233" priority="4" operator="containsText" text="Blocked">
      <formula>NOT(ISERROR(SEARCH(("Blocked"),(I6))))</formula>
    </cfRule>
    <cfRule type="containsText" dxfId="232" priority="5" operator="containsText" text="Cannot run">
      <formula>NOT(ISERROR(SEARCH(("Cannot run"),(J6))))</formula>
    </cfRule>
  </conditionalFormatting>
  <dataValidations count="1">
    <dataValidation type="list" allowBlank="1" showErrorMessage="1" sqref="I6:I13" xr:uid="{C69EA327-B8C3-488A-89ED-5301C89E1AB4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59EA-B4F8-4825-B819-7E74095DDBF3}">
  <dimension ref="A1:J52"/>
  <sheetViews>
    <sheetView workbookViewId="0">
      <selection activeCell="H3" sqref="H3"/>
    </sheetView>
  </sheetViews>
  <sheetFormatPr defaultRowHeight="14.5" x14ac:dyDescent="0.35"/>
  <cols>
    <col min="1" max="1" width="38.7265625" customWidth="1"/>
    <col min="2" max="7" width="27.54296875" customWidth="1"/>
    <col min="8" max="8" width="44.453125" customWidth="1"/>
    <col min="9" max="10" width="27.54296875" customWidth="1"/>
  </cols>
  <sheetData>
    <row r="1" spans="1:10" ht="15.5" x14ac:dyDescent="0.35">
      <c r="A1" s="76"/>
      <c r="B1" s="85" t="s">
        <v>2</v>
      </c>
      <c r="C1" s="78"/>
      <c r="D1" s="86" t="s">
        <v>1192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COUNTIF(A6:A60,"TC-??")</f>
        <v>16</v>
      </c>
      <c r="H2" s="14">
        <f>COUNTIF(I4:I844,"Đạt")</f>
        <v>16</v>
      </c>
      <c r="I2" s="6">
        <f>COUNTIF(G4:G917,"Không Đạt")</f>
        <v>0</v>
      </c>
      <c r="J2" s="6">
        <f>COUNTIF(G4:G917,"Chưa Xong")</f>
        <v>0</v>
      </c>
    </row>
    <row r="3" spans="1:10" ht="18" x14ac:dyDescent="0.35">
      <c r="A3" s="76"/>
      <c r="B3" s="85" t="s">
        <v>55</v>
      </c>
      <c r="C3" s="78"/>
      <c r="D3" s="88">
        <v>45982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58" x14ac:dyDescent="0.35">
      <c r="A6" s="32" t="s">
        <v>65</v>
      </c>
      <c r="B6" s="32" t="s">
        <v>1193</v>
      </c>
      <c r="C6" s="32" t="s">
        <v>1194</v>
      </c>
      <c r="D6" s="32" t="s">
        <v>1195</v>
      </c>
      <c r="E6" s="32" t="s">
        <v>1196</v>
      </c>
      <c r="F6" s="32" t="s">
        <v>1197</v>
      </c>
      <c r="G6" s="39" t="s">
        <v>1198</v>
      </c>
      <c r="H6" s="32" t="s">
        <v>1199</v>
      </c>
      <c r="I6" s="31" t="s">
        <v>4</v>
      </c>
    </row>
    <row r="7" spans="1:10" ht="58" x14ac:dyDescent="0.35">
      <c r="A7" s="32" t="s">
        <v>72</v>
      </c>
      <c r="B7" s="32" t="s">
        <v>1200</v>
      </c>
      <c r="C7" s="32" t="s">
        <v>1194</v>
      </c>
      <c r="D7" s="32" t="s">
        <v>1201</v>
      </c>
      <c r="E7" s="32" t="s">
        <v>1202</v>
      </c>
      <c r="F7" s="32" t="s">
        <v>1203</v>
      </c>
      <c r="G7" s="39" t="s">
        <v>1204</v>
      </c>
      <c r="H7" s="32" t="s">
        <v>1205</v>
      </c>
      <c r="I7" s="31" t="s">
        <v>4</v>
      </c>
    </row>
    <row r="8" spans="1:10" ht="43.5" x14ac:dyDescent="0.35">
      <c r="A8" s="32" t="s">
        <v>77</v>
      </c>
      <c r="B8" s="32" t="s">
        <v>1206</v>
      </c>
      <c r="C8" s="32" t="s">
        <v>1194</v>
      </c>
      <c r="D8" s="32" t="s">
        <v>1207</v>
      </c>
      <c r="E8" s="32" t="s">
        <v>1202</v>
      </c>
      <c r="F8" s="32" t="s">
        <v>1208</v>
      </c>
      <c r="G8" s="39" t="s">
        <v>1209</v>
      </c>
      <c r="H8" s="32" t="s">
        <v>1210</v>
      </c>
      <c r="I8" s="31" t="s">
        <v>4</v>
      </c>
    </row>
    <row r="9" spans="1:10" ht="43.5" x14ac:dyDescent="0.35">
      <c r="A9" s="32" t="s">
        <v>83</v>
      </c>
      <c r="B9" s="32" t="s">
        <v>1211</v>
      </c>
      <c r="C9" s="32" t="s">
        <v>1194</v>
      </c>
      <c r="D9" s="32" t="s">
        <v>1212</v>
      </c>
      <c r="E9" s="32" t="s">
        <v>1202</v>
      </c>
      <c r="F9" s="32" t="s">
        <v>1213</v>
      </c>
      <c r="G9" s="39" t="s">
        <v>1214</v>
      </c>
      <c r="H9" s="32" t="s">
        <v>1215</v>
      </c>
      <c r="I9" s="31" t="s">
        <v>4</v>
      </c>
    </row>
    <row r="10" spans="1:10" ht="43.5" x14ac:dyDescent="0.35">
      <c r="A10" s="32" t="s">
        <v>88</v>
      </c>
      <c r="B10" s="32" t="s">
        <v>1216</v>
      </c>
      <c r="C10" s="32" t="s">
        <v>1194</v>
      </c>
      <c r="D10" s="32" t="s">
        <v>1217</v>
      </c>
      <c r="E10" s="32" t="s">
        <v>1218</v>
      </c>
      <c r="F10" s="32" t="s">
        <v>1219</v>
      </c>
      <c r="G10" s="39" t="s">
        <v>1220</v>
      </c>
      <c r="H10" s="32" t="s">
        <v>1221</v>
      </c>
      <c r="I10" s="31" t="s">
        <v>4</v>
      </c>
    </row>
    <row r="11" spans="1:10" ht="29" x14ac:dyDescent="0.35">
      <c r="A11" s="32" t="s">
        <v>233</v>
      </c>
      <c r="B11" s="32" t="s">
        <v>1222</v>
      </c>
      <c r="C11" s="32" t="s">
        <v>1194</v>
      </c>
      <c r="D11" s="32" t="s">
        <v>1223</v>
      </c>
      <c r="E11" s="32" t="s">
        <v>1202</v>
      </c>
      <c r="F11" s="32" t="s">
        <v>1224</v>
      </c>
      <c r="G11" s="32" t="s">
        <v>1225</v>
      </c>
      <c r="H11" s="32" t="s">
        <v>1226</v>
      </c>
      <c r="I11" s="31" t="s">
        <v>4</v>
      </c>
    </row>
    <row r="12" spans="1:10" ht="29" x14ac:dyDescent="0.35">
      <c r="A12" s="32" t="s">
        <v>93</v>
      </c>
      <c r="B12" s="32" t="s">
        <v>1227</v>
      </c>
      <c r="C12" s="32" t="s">
        <v>1194</v>
      </c>
      <c r="D12" s="32" t="s">
        <v>1228</v>
      </c>
      <c r="E12" s="32" t="s">
        <v>1202</v>
      </c>
      <c r="F12" s="32" t="s">
        <v>1229</v>
      </c>
      <c r="G12" s="32" t="s">
        <v>1230</v>
      </c>
      <c r="H12" s="32" t="s">
        <v>1231</v>
      </c>
      <c r="I12" s="31" t="s">
        <v>4</v>
      </c>
    </row>
    <row r="13" spans="1:10" ht="43.5" x14ac:dyDescent="0.35">
      <c r="A13" s="32" t="s">
        <v>98</v>
      </c>
      <c r="B13" s="32" t="s">
        <v>1232</v>
      </c>
      <c r="C13" s="32" t="s">
        <v>1194</v>
      </c>
      <c r="D13" s="32" t="s">
        <v>1233</v>
      </c>
      <c r="E13" s="32" t="s">
        <v>1234</v>
      </c>
      <c r="F13" s="32" t="s">
        <v>1235</v>
      </c>
      <c r="G13" s="39" t="s">
        <v>1236</v>
      </c>
      <c r="H13" s="32" t="s">
        <v>1237</v>
      </c>
      <c r="I13" s="31" t="s">
        <v>4</v>
      </c>
    </row>
    <row r="14" spans="1:10" ht="43.5" x14ac:dyDescent="0.35">
      <c r="A14" s="32" t="s">
        <v>105</v>
      </c>
      <c r="B14" s="32" t="s">
        <v>1238</v>
      </c>
      <c r="C14" s="32" t="s">
        <v>1194</v>
      </c>
      <c r="D14" s="32" t="s">
        <v>1239</v>
      </c>
      <c r="E14" s="32" t="s">
        <v>1202</v>
      </c>
      <c r="F14" s="32" t="s">
        <v>1240</v>
      </c>
      <c r="G14" s="32" t="s">
        <v>1241</v>
      </c>
      <c r="H14" s="32" t="s">
        <v>1242</v>
      </c>
      <c r="I14" s="31" t="s">
        <v>4</v>
      </c>
    </row>
    <row r="15" spans="1:10" ht="43.5" x14ac:dyDescent="0.35">
      <c r="A15" s="32" t="s">
        <v>113</v>
      </c>
      <c r="B15" s="32" t="s">
        <v>1243</v>
      </c>
      <c r="C15" s="32" t="s">
        <v>1194</v>
      </c>
      <c r="D15" s="32" t="s">
        <v>1244</v>
      </c>
      <c r="E15" s="32" t="s">
        <v>1202</v>
      </c>
      <c r="F15" s="32" t="s">
        <v>1245</v>
      </c>
      <c r="G15" s="32" t="s">
        <v>1246</v>
      </c>
      <c r="H15" s="32" t="s">
        <v>1247</v>
      </c>
      <c r="I15" s="31" t="s">
        <v>4</v>
      </c>
    </row>
    <row r="16" spans="1:10" ht="43.5" x14ac:dyDescent="0.35">
      <c r="A16" s="32" t="s">
        <v>119</v>
      </c>
      <c r="B16" s="32" t="s">
        <v>1248</v>
      </c>
      <c r="C16" s="32" t="s">
        <v>1194</v>
      </c>
      <c r="D16" s="32" t="s">
        <v>1207</v>
      </c>
      <c r="E16" s="32" t="s">
        <v>1202</v>
      </c>
      <c r="F16" s="32" t="s">
        <v>1249</v>
      </c>
      <c r="G16" s="39" t="s">
        <v>1250</v>
      </c>
      <c r="H16" s="32" t="s">
        <v>1251</v>
      </c>
      <c r="I16" s="31" t="s">
        <v>4</v>
      </c>
    </row>
    <row r="17" spans="1:9" ht="43.5" x14ac:dyDescent="0.35">
      <c r="A17" s="32" t="s">
        <v>125</v>
      </c>
      <c r="B17" s="32" t="s">
        <v>1252</v>
      </c>
      <c r="C17" s="32" t="s">
        <v>1194</v>
      </c>
      <c r="D17" s="32" t="s">
        <v>1253</v>
      </c>
      <c r="E17" s="32" t="s">
        <v>1202</v>
      </c>
      <c r="F17" s="32" t="s">
        <v>1254</v>
      </c>
      <c r="G17" s="39" t="s">
        <v>1255</v>
      </c>
      <c r="H17" s="32" t="s">
        <v>1256</v>
      </c>
      <c r="I17" s="31" t="s">
        <v>4</v>
      </c>
    </row>
    <row r="18" spans="1:9" ht="43.5" x14ac:dyDescent="0.35">
      <c r="A18" s="32" t="s">
        <v>132</v>
      </c>
      <c r="B18" s="32" t="s">
        <v>1257</v>
      </c>
      <c r="C18" s="32" t="s">
        <v>1194</v>
      </c>
      <c r="D18" s="32" t="s">
        <v>1258</v>
      </c>
      <c r="E18" s="32" t="s">
        <v>1202</v>
      </c>
      <c r="F18" s="32" t="s">
        <v>1259</v>
      </c>
      <c r="G18" s="39" t="s">
        <v>1260</v>
      </c>
      <c r="H18" s="32" t="s">
        <v>1261</v>
      </c>
      <c r="I18" s="31" t="s">
        <v>4</v>
      </c>
    </row>
    <row r="19" spans="1:9" ht="29" x14ac:dyDescent="0.35">
      <c r="A19" s="32" t="s">
        <v>138</v>
      </c>
      <c r="B19" s="32" t="s">
        <v>1262</v>
      </c>
      <c r="C19" s="32" t="s">
        <v>1194</v>
      </c>
      <c r="D19" s="32" t="s">
        <v>1263</v>
      </c>
      <c r="E19" s="32" t="s">
        <v>1202</v>
      </c>
      <c r="F19" s="32" t="s">
        <v>1264</v>
      </c>
      <c r="G19" s="32" t="s">
        <v>1265</v>
      </c>
      <c r="H19" s="32" t="s">
        <v>1266</v>
      </c>
      <c r="I19" s="31" t="s">
        <v>4</v>
      </c>
    </row>
    <row r="20" spans="1:9" ht="29" x14ac:dyDescent="0.35">
      <c r="A20" s="32" t="s">
        <v>144</v>
      </c>
      <c r="B20" s="32" t="s">
        <v>1267</v>
      </c>
      <c r="C20" s="32" t="s">
        <v>1194</v>
      </c>
      <c r="D20" s="32" t="s">
        <v>1268</v>
      </c>
      <c r="E20" s="32" t="s">
        <v>1202</v>
      </c>
      <c r="F20" s="32" t="s">
        <v>1269</v>
      </c>
      <c r="G20" s="39" t="s">
        <v>1270</v>
      </c>
      <c r="H20" s="32" t="s">
        <v>1271</v>
      </c>
      <c r="I20" s="31" t="s">
        <v>4</v>
      </c>
    </row>
    <row r="21" spans="1:9" ht="29" x14ac:dyDescent="0.35">
      <c r="A21" s="32" t="s">
        <v>150</v>
      </c>
      <c r="B21" s="32" t="s">
        <v>1272</v>
      </c>
      <c r="C21" s="32" t="s">
        <v>1194</v>
      </c>
      <c r="D21" s="32" t="s">
        <v>1273</v>
      </c>
      <c r="E21" s="32" t="s">
        <v>1274</v>
      </c>
      <c r="F21" s="32" t="s">
        <v>1275</v>
      </c>
      <c r="G21" s="39" t="s">
        <v>1276</v>
      </c>
      <c r="H21" s="32" t="s">
        <v>1277</v>
      </c>
      <c r="I21" s="31" t="s">
        <v>4</v>
      </c>
    </row>
    <row r="22" spans="1:9" x14ac:dyDescent="0.35">
      <c r="A22" s="17"/>
      <c r="B22" s="17"/>
      <c r="C22" s="17"/>
      <c r="D22" s="17"/>
      <c r="E22" s="17"/>
      <c r="F22" s="17"/>
      <c r="G22" s="17"/>
      <c r="H22" s="17"/>
      <c r="I22" s="31"/>
    </row>
    <row r="23" spans="1:9" x14ac:dyDescent="0.35">
      <c r="A23" s="17"/>
      <c r="B23" s="17"/>
      <c r="C23" s="17"/>
      <c r="D23" s="17"/>
      <c r="E23" s="17"/>
      <c r="F23" s="17"/>
      <c r="G23" s="17"/>
      <c r="H23" s="17"/>
      <c r="I23" s="31"/>
    </row>
    <row r="24" spans="1:9" x14ac:dyDescent="0.35">
      <c r="A24" s="17"/>
      <c r="B24" s="17"/>
      <c r="C24" s="17"/>
      <c r="D24" s="17"/>
      <c r="E24" s="17"/>
      <c r="F24" s="17"/>
      <c r="G24" s="17"/>
      <c r="H24" s="17"/>
      <c r="I24" s="31"/>
    </row>
    <row r="25" spans="1:9" x14ac:dyDescent="0.35">
      <c r="A25" s="17"/>
      <c r="B25" s="17"/>
      <c r="C25" s="17"/>
      <c r="D25" s="17"/>
      <c r="E25" s="17"/>
      <c r="F25" s="17"/>
      <c r="G25" s="17"/>
      <c r="H25" s="17"/>
      <c r="I25" s="31"/>
    </row>
    <row r="26" spans="1:9" x14ac:dyDescent="0.35">
      <c r="A26" s="17"/>
      <c r="B26" s="17"/>
      <c r="C26" s="17"/>
      <c r="D26" s="17"/>
      <c r="E26" s="17"/>
      <c r="F26" s="17"/>
      <c r="G26" s="17"/>
      <c r="H26" s="17"/>
      <c r="I26" s="31"/>
    </row>
    <row r="27" spans="1:9" x14ac:dyDescent="0.35">
      <c r="A27" s="17"/>
      <c r="B27" s="17"/>
      <c r="C27" s="17"/>
      <c r="D27" s="17"/>
      <c r="E27" s="17"/>
      <c r="F27" s="17"/>
      <c r="G27" s="17"/>
      <c r="H27" s="17"/>
      <c r="I27" s="31"/>
    </row>
    <row r="28" spans="1:9" x14ac:dyDescent="0.35">
      <c r="A28" s="17"/>
      <c r="B28" s="17"/>
      <c r="C28" s="17"/>
      <c r="D28" s="17"/>
      <c r="E28" s="17"/>
      <c r="F28" s="17"/>
      <c r="G28" s="17"/>
      <c r="H28" s="17"/>
      <c r="I28" s="31"/>
    </row>
    <row r="29" spans="1:9" x14ac:dyDescent="0.35">
      <c r="A29" s="17"/>
      <c r="B29" s="17"/>
      <c r="C29" s="17"/>
      <c r="D29" s="17"/>
      <c r="E29" s="17"/>
      <c r="F29" s="17"/>
      <c r="G29" s="17"/>
      <c r="H29" s="17"/>
      <c r="I29" s="31"/>
    </row>
    <row r="30" spans="1:9" x14ac:dyDescent="0.35">
      <c r="A30" s="17"/>
      <c r="B30" s="17"/>
      <c r="C30" s="17"/>
      <c r="D30" s="17"/>
      <c r="E30" s="17"/>
      <c r="F30" s="17"/>
      <c r="G30" s="17"/>
      <c r="H30" s="17"/>
      <c r="I30" s="31"/>
    </row>
    <row r="31" spans="1:9" x14ac:dyDescent="0.35">
      <c r="A31" s="17"/>
      <c r="B31" s="17"/>
      <c r="C31" s="17"/>
      <c r="D31" s="17"/>
      <c r="E31" s="17"/>
      <c r="F31" s="17"/>
      <c r="G31" s="17"/>
      <c r="H31" s="17"/>
      <c r="I31" s="31"/>
    </row>
    <row r="32" spans="1:9" x14ac:dyDescent="0.35">
      <c r="A32" s="17"/>
      <c r="B32" s="17"/>
      <c r="C32" s="17"/>
      <c r="D32" s="17"/>
      <c r="E32" s="17"/>
      <c r="F32" s="17"/>
      <c r="G32" s="17"/>
      <c r="H32" s="17"/>
      <c r="I32" s="31"/>
    </row>
    <row r="33" spans="1:9" x14ac:dyDescent="0.35">
      <c r="A33" s="17"/>
      <c r="B33" s="17"/>
      <c r="C33" s="17"/>
      <c r="D33" s="17"/>
      <c r="E33" s="17"/>
      <c r="F33" s="17"/>
      <c r="G33" s="17"/>
      <c r="H33" s="17"/>
      <c r="I33" s="31"/>
    </row>
    <row r="34" spans="1:9" x14ac:dyDescent="0.35">
      <c r="A34" s="17"/>
      <c r="B34" s="17"/>
      <c r="C34" s="17"/>
      <c r="D34" s="17"/>
      <c r="E34" s="17"/>
      <c r="F34" s="17"/>
      <c r="G34" s="17"/>
      <c r="H34" s="17"/>
      <c r="I34" s="31"/>
    </row>
    <row r="35" spans="1:9" x14ac:dyDescent="0.35">
      <c r="A35" s="17"/>
      <c r="B35" s="17"/>
      <c r="C35" s="17"/>
      <c r="D35" s="17"/>
      <c r="E35" s="17"/>
      <c r="F35" s="17"/>
      <c r="G35" s="17"/>
      <c r="H35" s="17"/>
      <c r="I35" s="31"/>
    </row>
    <row r="36" spans="1:9" x14ac:dyDescent="0.35">
      <c r="A36" s="17"/>
      <c r="B36" s="17"/>
      <c r="C36" s="17"/>
      <c r="D36" s="17"/>
      <c r="E36" s="17"/>
      <c r="F36" s="17"/>
      <c r="G36" s="17"/>
      <c r="H36" s="17"/>
      <c r="I36" s="31"/>
    </row>
    <row r="37" spans="1:9" x14ac:dyDescent="0.35">
      <c r="A37" s="17"/>
      <c r="B37" s="17"/>
      <c r="C37" s="17"/>
      <c r="D37" s="17"/>
      <c r="E37" s="17"/>
      <c r="F37" s="17"/>
      <c r="G37" s="17"/>
      <c r="H37" s="17"/>
      <c r="I37" s="31"/>
    </row>
    <row r="38" spans="1:9" x14ac:dyDescent="0.35">
      <c r="A38" s="17"/>
      <c r="B38" s="17"/>
      <c r="C38" s="17"/>
      <c r="D38" s="17"/>
      <c r="E38" s="17"/>
      <c r="F38" s="17"/>
      <c r="G38" s="17"/>
      <c r="H38" s="17"/>
      <c r="I38" s="31"/>
    </row>
    <row r="39" spans="1:9" x14ac:dyDescent="0.35">
      <c r="A39" s="17"/>
      <c r="B39" s="17"/>
      <c r="C39" s="17"/>
      <c r="D39" s="17"/>
      <c r="E39" s="17"/>
      <c r="F39" s="17"/>
      <c r="G39" s="17"/>
      <c r="H39" s="17"/>
      <c r="I39" s="31"/>
    </row>
    <row r="40" spans="1:9" x14ac:dyDescent="0.35">
      <c r="A40" s="17"/>
      <c r="B40" s="17"/>
      <c r="C40" s="17"/>
      <c r="D40" s="17"/>
      <c r="E40" s="17"/>
      <c r="F40" s="17"/>
      <c r="G40" s="17"/>
      <c r="H40" s="17"/>
      <c r="I40" s="31"/>
    </row>
    <row r="41" spans="1:9" x14ac:dyDescent="0.35">
      <c r="A41" s="17"/>
      <c r="B41" s="17"/>
      <c r="C41" s="17"/>
      <c r="D41" s="17"/>
      <c r="E41" s="17"/>
      <c r="F41" s="17"/>
      <c r="G41" s="17"/>
      <c r="H41" s="17"/>
      <c r="I41" s="31"/>
    </row>
    <row r="42" spans="1:9" x14ac:dyDescent="0.35">
      <c r="A42" s="17"/>
      <c r="B42" s="17"/>
      <c r="C42" s="17"/>
      <c r="D42" s="17"/>
      <c r="E42" s="17"/>
      <c r="F42" s="17"/>
      <c r="G42" s="17"/>
      <c r="H42" s="17"/>
      <c r="I42" s="31"/>
    </row>
    <row r="43" spans="1:9" x14ac:dyDescent="0.35">
      <c r="A43" s="17"/>
      <c r="B43" s="17"/>
      <c r="C43" s="17"/>
      <c r="D43" s="17"/>
      <c r="E43" s="17"/>
      <c r="F43" s="17"/>
      <c r="G43" s="17"/>
      <c r="H43" s="17"/>
      <c r="I43" s="31"/>
    </row>
    <row r="44" spans="1:9" x14ac:dyDescent="0.35">
      <c r="A44" s="17"/>
      <c r="B44" s="17"/>
      <c r="C44" s="17"/>
      <c r="D44" s="17"/>
      <c r="E44" s="17"/>
      <c r="F44" s="17"/>
      <c r="G44" s="17"/>
      <c r="H44" s="17"/>
      <c r="I44" s="31"/>
    </row>
    <row r="45" spans="1:9" x14ac:dyDescent="0.35">
      <c r="A45" s="17"/>
      <c r="B45" s="17"/>
      <c r="C45" s="17"/>
      <c r="D45" s="17"/>
      <c r="E45" s="17"/>
      <c r="F45" s="17"/>
      <c r="G45" s="17"/>
      <c r="H45" s="17"/>
      <c r="I45" s="31"/>
    </row>
    <row r="46" spans="1:9" x14ac:dyDescent="0.35">
      <c r="A46" s="17"/>
      <c r="B46" s="17"/>
      <c r="C46" s="17"/>
      <c r="D46" s="17"/>
      <c r="E46" s="17"/>
      <c r="F46" s="17"/>
      <c r="G46" s="17"/>
      <c r="H46" s="17"/>
      <c r="I46" s="31"/>
    </row>
    <row r="47" spans="1:9" x14ac:dyDescent="0.35">
      <c r="A47" s="17"/>
      <c r="B47" s="17"/>
      <c r="C47" s="17"/>
      <c r="D47" s="17"/>
      <c r="E47" s="17"/>
      <c r="F47" s="17"/>
      <c r="G47" s="17"/>
      <c r="H47" s="17"/>
      <c r="I47" s="31"/>
    </row>
    <row r="48" spans="1:9" x14ac:dyDescent="0.35">
      <c r="A48" s="17"/>
      <c r="B48" s="17"/>
      <c r="C48" s="17"/>
      <c r="D48" s="17"/>
      <c r="E48" s="17"/>
      <c r="F48" s="17"/>
      <c r="G48" s="17"/>
      <c r="H48" s="17"/>
      <c r="I48" s="31"/>
    </row>
    <row r="49" spans="1:9" x14ac:dyDescent="0.35">
      <c r="A49" s="17"/>
      <c r="B49" s="17"/>
      <c r="C49" s="17"/>
      <c r="D49" s="17"/>
      <c r="E49" s="17"/>
      <c r="F49" s="17"/>
      <c r="G49" s="17"/>
      <c r="H49" s="17"/>
      <c r="I49" s="31"/>
    </row>
    <row r="50" spans="1:9" x14ac:dyDescent="0.35">
      <c r="A50" s="17"/>
      <c r="B50" s="17"/>
      <c r="C50" s="17"/>
      <c r="D50" s="17"/>
      <c r="E50" s="17"/>
      <c r="F50" s="17"/>
      <c r="G50" s="17"/>
      <c r="H50" s="17"/>
      <c r="I50" s="31"/>
    </row>
    <row r="51" spans="1:9" x14ac:dyDescent="0.35">
      <c r="A51" s="17"/>
      <c r="B51" s="17"/>
      <c r="C51" s="17"/>
      <c r="D51" s="17"/>
      <c r="E51" s="17"/>
      <c r="F51" s="17"/>
      <c r="G51" s="17"/>
      <c r="H51" s="17"/>
      <c r="I51" s="31"/>
    </row>
    <row r="52" spans="1:9" x14ac:dyDescent="0.35">
      <c r="A52" s="17"/>
      <c r="B52" s="17"/>
      <c r="C52" s="17"/>
      <c r="D52" s="17"/>
      <c r="E52" s="17"/>
      <c r="F52" s="17"/>
      <c r="G52" s="17"/>
      <c r="H52" s="17"/>
      <c r="I52" s="31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31" priority="11" operator="containsText" text="Passed">
      <formula>NOT(ISERROR(SEARCH(("Passed"),(G1))))</formula>
    </cfRule>
    <cfRule type="containsText" dxfId="230" priority="12" operator="containsText" text="Failed">
      <formula>NOT(ISERROR(SEARCH(("Failed"),(G1))))</formula>
    </cfRule>
    <cfRule type="containsText" dxfId="229" priority="13" operator="containsText" text="Incomplete">
      <formula>NOT(ISERROR(SEARCH(("Incomplete"),(G1))))</formula>
    </cfRule>
  </conditionalFormatting>
  <conditionalFormatting sqref="I6:I52">
    <cfRule type="containsText" dxfId="228" priority="1" operator="containsText" text="Passed">
      <formula>NOT(ISERROR(SEARCH(("Passed"),(I6))))</formula>
    </cfRule>
    <cfRule type="containsText" dxfId="227" priority="2" operator="containsText" text="Failed">
      <formula>NOT(ISERROR(SEARCH(("Failed"),(I6))))</formula>
    </cfRule>
    <cfRule type="containsText" dxfId="226" priority="3" operator="containsText" text="Bug ok">
      <formula>NOT(ISERROR(SEARCH(("Bug ok"),(I6))))</formula>
    </cfRule>
    <cfRule type="containsText" dxfId="225" priority="4" operator="containsText" text="Blocked">
      <formula>NOT(ISERROR(SEARCH(("Blocked"),(I6))))</formula>
    </cfRule>
    <cfRule type="containsText" dxfId="224" priority="5" operator="containsText" text="Cannot run">
      <formula>NOT(ISERROR(SEARCH(("Cannot run"),(J6))))</formula>
    </cfRule>
  </conditionalFormatting>
  <dataValidations count="1">
    <dataValidation type="list" allowBlank="1" showErrorMessage="1" sqref="I6:I52" xr:uid="{DA572907-DFF6-4A47-9F05-113246EA5F10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7A0A-1E61-4323-9FAE-2EEDE3AA413E}">
  <dimension ref="A1:J53"/>
  <sheetViews>
    <sheetView workbookViewId="0">
      <selection activeCell="H3" sqref="H3"/>
    </sheetView>
  </sheetViews>
  <sheetFormatPr defaultRowHeight="14.5" x14ac:dyDescent="0.35"/>
  <cols>
    <col min="1" max="1" width="38.1796875" customWidth="1"/>
    <col min="2" max="10" width="27.54296875" customWidth="1"/>
  </cols>
  <sheetData>
    <row r="1" spans="1:10" ht="15.5" x14ac:dyDescent="0.35">
      <c r="A1" s="76"/>
      <c r="B1" s="85" t="s">
        <v>2</v>
      </c>
      <c r="C1" s="78"/>
      <c r="D1" s="86" t="s">
        <v>1278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COUNTIF(A6:A57,"TC-??")</f>
        <v>10</v>
      </c>
      <c r="H2" s="14">
        <f>COUNTIF(I4:I844,"Đạt")</f>
        <v>10</v>
      </c>
      <c r="I2" s="6">
        <f>COUNTIF(G4:G914,"Không Đạt")</f>
        <v>0</v>
      </c>
      <c r="J2" s="6">
        <f>COUNTIF(G4:G914,"Chưa Xong")</f>
        <v>0</v>
      </c>
    </row>
    <row r="3" spans="1:10" ht="18" x14ac:dyDescent="0.35">
      <c r="A3" s="76"/>
      <c r="B3" s="85" t="s">
        <v>55</v>
      </c>
      <c r="C3" s="78"/>
      <c r="D3" s="88">
        <v>45982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1279</v>
      </c>
      <c r="C6" s="17" t="s">
        <v>1280</v>
      </c>
      <c r="D6" s="17" t="s">
        <v>1281</v>
      </c>
      <c r="E6" s="17" t="s">
        <v>1282</v>
      </c>
      <c r="F6" s="17" t="s">
        <v>1283</v>
      </c>
      <c r="G6" s="33" t="s">
        <v>1284</v>
      </c>
      <c r="H6" s="17" t="s">
        <v>1285</v>
      </c>
      <c r="I6" s="31" t="s">
        <v>4</v>
      </c>
    </row>
    <row r="7" spans="1:10" ht="43.5" x14ac:dyDescent="0.35">
      <c r="A7" s="17" t="s">
        <v>72</v>
      </c>
      <c r="B7" s="17" t="s">
        <v>1286</v>
      </c>
      <c r="C7" s="17" t="s">
        <v>448</v>
      </c>
      <c r="D7" s="17" t="s">
        <v>1287</v>
      </c>
      <c r="E7" s="17" t="s">
        <v>1288</v>
      </c>
      <c r="F7" s="17" t="s">
        <v>1289</v>
      </c>
      <c r="G7" s="33" t="s">
        <v>1290</v>
      </c>
      <c r="H7" s="17" t="s">
        <v>1291</v>
      </c>
      <c r="I7" s="31" t="s">
        <v>4</v>
      </c>
    </row>
    <row r="8" spans="1:10" ht="43.5" x14ac:dyDescent="0.35">
      <c r="A8" s="17" t="s">
        <v>77</v>
      </c>
      <c r="B8" s="17" t="s">
        <v>1292</v>
      </c>
      <c r="C8" s="17" t="s">
        <v>448</v>
      </c>
      <c r="D8" s="17" t="s">
        <v>1293</v>
      </c>
      <c r="E8" s="17" t="s">
        <v>1294</v>
      </c>
      <c r="F8" s="17" t="s">
        <v>1295</v>
      </c>
      <c r="G8" s="17" t="s">
        <v>1296</v>
      </c>
      <c r="H8" s="17" t="s">
        <v>1297</v>
      </c>
      <c r="I8" s="31" t="s">
        <v>4</v>
      </c>
    </row>
    <row r="9" spans="1:10" ht="29" x14ac:dyDescent="0.35">
      <c r="A9" s="17" t="s">
        <v>83</v>
      </c>
      <c r="B9" s="17" t="s">
        <v>1298</v>
      </c>
      <c r="C9" s="17" t="s">
        <v>448</v>
      </c>
      <c r="D9" s="17" t="s">
        <v>1299</v>
      </c>
      <c r="E9" s="17" t="s">
        <v>1300</v>
      </c>
      <c r="F9" s="17" t="s">
        <v>1301</v>
      </c>
      <c r="G9" s="33" t="s">
        <v>1302</v>
      </c>
      <c r="H9" s="17" t="s">
        <v>1303</v>
      </c>
      <c r="I9" s="31" t="s">
        <v>4</v>
      </c>
    </row>
    <row r="10" spans="1:10" ht="29" x14ac:dyDescent="0.35">
      <c r="A10" s="17" t="s">
        <v>88</v>
      </c>
      <c r="B10" s="17" t="s">
        <v>1304</v>
      </c>
      <c r="C10" s="17" t="s">
        <v>448</v>
      </c>
      <c r="D10" s="17" t="s">
        <v>252</v>
      </c>
      <c r="E10" s="17" t="s">
        <v>1305</v>
      </c>
      <c r="F10" s="17" t="s">
        <v>605</v>
      </c>
      <c r="G10" s="33" t="s">
        <v>1306</v>
      </c>
      <c r="H10" s="17" t="s">
        <v>1307</v>
      </c>
      <c r="I10" s="31" t="s">
        <v>4</v>
      </c>
    </row>
    <row r="11" spans="1:10" ht="29" x14ac:dyDescent="0.35">
      <c r="A11" s="17" t="s">
        <v>233</v>
      </c>
      <c r="B11" s="17" t="s">
        <v>1308</v>
      </c>
      <c r="C11" s="17" t="s">
        <v>448</v>
      </c>
      <c r="D11" s="17" t="s">
        <v>1309</v>
      </c>
      <c r="E11" s="17" t="s">
        <v>1310</v>
      </c>
      <c r="F11" s="17" t="s">
        <v>1311</v>
      </c>
      <c r="G11" s="17" t="s">
        <v>1312</v>
      </c>
      <c r="H11" s="17" t="s">
        <v>1313</v>
      </c>
      <c r="I11" s="31" t="s">
        <v>4</v>
      </c>
    </row>
    <row r="12" spans="1:10" ht="29" x14ac:dyDescent="0.35">
      <c r="A12" s="17" t="s">
        <v>93</v>
      </c>
      <c r="B12" s="17" t="s">
        <v>1314</v>
      </c>
      <c r="C12" s="17" t="s">
        <v>448</v>
      </c>
      <c r="D12" s="17" t="s">
        <v>1315</v>
      </c>
      <c r="E12" s="17" t="s">
        <v>1316</v>
      </c>
      <c r="F12" s="17" t="s">
        <v>1317</v>
      </c>
      <c r="G12" s="33" t="s">
        <v>1318</v>
      </c>
      <c r="H12" s="17" t="s">
        <v>1319</v>
      </c>
      <c r="I12" s="31" t="s">
        <v>4</v>
      </c>
    </row>
    <row r="13" spans="1:10" ht="29" x14ac:dyDescent="0.35">
      <c r="A13" s="17" t="s">
        <v>98</v>
      </c>
      <c r="B13" s="17" t="s">
        <v>1320</v>
      </c>
      <c r="C13" s="17" t="s">
        <v>448</v>
      </c>
      <c r="D13" s="17" t="s">
        <v>1321</v>
      </c>
      <c r="E13" s="17" t="s">
        <v>1322</v>
      </c>
      <c r="F13" s="17" t="s">
        <v>1323</v>
      </c>
      <c r="G13" s="17" t="s">
        <v>1324</v>
      </c>
      <c r="H13" s="17" t="s">
        <v>1325</v>
      </c>
      <c r="I13" s="31" t="s">
        <v>4</v>
      </c>
    </row>
    <row r="14" spans="1:10" ht="29" x14ac:dyDescent="0.35">
      <c r="A14" s="17" t="s">
        <v>105</v>
      </c>
      <c r="B14" s="17" t="s">
        <v>1326</v>
      </c>
      <c r="C14" s="17" t="s">
        <v>315</v>
      </c>
      <c r="D14" s="17" t="s">
        <v>314</v>
      </c>
      <c r="E14" s="17" t="s">
        <v>1316</v>
      </c>
      <c r="F14" s="17" t="s">
        <v>1327</v>
      </c>
      <c r="G14" s="17" t="s">
        <v>316</v>
      </c>
      <c r="H14" s="17" t="s">
        <v>1328</v>
      </c>
      <c r="I14" s="31" t="s">
        <v>4</v>
      </c>
    </row>
    <row r="15" spans="1:10" ht="29" x14ac:dyDescent="0.35">
      <c r="A15" s="17" t="s">
        <v>113</v>
      </c>
      <c r="B15" s="17" t="s">
        <v>1329</v>
      </c>
      <c r="C15" s="17" t="s">
        <v>315</v>
      </c>
      <c r="D15" s="17" t="s">
        <v>1330</v>
      </c>
      <c r="E15" s="17" t="s">
        <v>1331</v>
      </c>
      <c r="F15" s="17" t="s">
        <v>1275</v>
      </c>
      <c r="G15" s="17" t="s">
        <v>1332</v>
      </c>
      <c r="H15" s="17" t="s">
        <v>1333</v>
      </c>
      <c r="I15" s="31" t="s">
        <v>4</v>
      </c>
    </row>
    <row r="16" spans="1:10" x14ac:dyDescent="0.35">
      <c r="A16" s="17"/>
      <c r="B16" s="17"/>
      <c r="C16" s="17"/>
      <c r="D16" s="17"/>
      <c r="E16" s="17"/>
      <c r="F16" s="17"/>
      <c r="G16" s="17"/>
      <c r="H16" s="17"/>
      <c r="I16" s="31"/>
    </row>
    <row r="17" spans="1:9" x14ac:dyDescent="0.35">
      <c r="A17" s="17"/>
      <c r="B17" s="17"/>
      <c r="C17" s="17"/>
      <c r="D17" s="17"/>
      <c r="E17" s="17"/>
      <c r="F17" s="17"/>
      <c r="G17" s="17"/>
      <c r="H17" s="17"/>
      <c r="I17" s="31"/>
    </row>
    <row r="18" spans="1:9" x14ac:dyDescent="0.35">
      <c r="A18" s="17"/>
      <c r="B18" s="17"/>
      <c r="C18" s="17"/>
      <c r="D18" s="17"/>
      <c r="E18" s="17"/>
      <c r="F18" s="17"/>
      <c r="G18" s="17"/>
      <c r="H18" s="17"/>
      <c r="I18" s="31"/>
    </row>
    <row r="19" spans="1:9" x14ac:dyDescent="0.35">
      <c r="A19" s="17"/>
      <c r="B19" s="17"/>
      <c r="C19" s="17"/>
      <c r="D19" s="17"/>
      <c r="E19" s="17"/>
      <c r="F19" s="17"/>
      <c r="G19" s="17"/>
      <c r="H19" s="17"/>
      <c r="I19" s="31"/>
    </row>
    <row r="20" spans="1:9" x14ac:dyDescent="0.35">
      <c r="A20" s="17"/>
      <c r="B20" s="17"/>
      <c r="C20" s="17"/>
      <c r="D20" s="17"/>
      <c r="E20" s="17"/>
      <c r="F20" s="17"/>
      <c r="G20" s="17"/>
      <c r="H20" s="17"/>
      <c r="I20" s="31"/>
    </row>
    <row r="21" spans="1:9" x14ac:dyDescent="0.35">
      <c r="A21" s="17"/>
      <c r="B21" s="17"/>
      <c r="C21" s="17"/>
      <c r="D21" s="17"/>
      <c r="E21" s="17"/>
      <c r="F21" s="17"/>
      <c r="G21" s="17"/>
      <c r="H21" s="17"/>
      <c r="I21" s="31"/>
    </row>
    <row r="22" spans="1:9" x14ac:dyDescent="0.35">
      <c r="A22" s="17"/>
      <c r="B22" s="17"/>
      <c r="C22" s="17"/>
      <c r="D22" s="17"/>
      <c r="E22" s="17"/>
      <c r="F22" s="17"/>
      <c r="G22" s="17"/>
      <c r="H22" s="17"/>
      <c r="I22" s="31"/>
    </row>
    <row r="23" spans="1:9" x14ac:dyDescent="0.35">
      <c r="A23" s="17"/>
      <c r="B23" s="17"/>
      <c r="C23" s="17"/>
      <c r="D23" s="17"/>
      <c r="E23" s="17"/>
      <c r="F23" s="17"/>
      <c r="G23" s="17"/>
      <c r="H23" s="17"/>
      <c r="I23" s="31"/>
    </row>
    <row r="24" spans="1:9" x14ac:dyDescent="0.35">
      <c r="A24" s="17"/>
      <c r="B24" s="17"/>
      <c r="C24" s="17"/>
      <c r="D24" s="17"/>
      <c r="E24" s="17"/>
      <c r="F24" s="17"/>
      <c r="G24" s="17"/>
      <c r="H24" s="17"/>
      <c r="I24" s="31"/>
    </row>
    <row r="25" spans="1:9" x14ac:dyDescent="0.35">
      <c r="A25" s="17"/>
      <c r="B25" s="17"/>
      <c r="C25" s="17"/>
      <c r="D25" s="17"/>
      <c r="E25" s="17"/>
      <c r="F25" s="17"/>
      <c r="G25" s="17"/>
      <c r="H25" s="17"/>
      <c r="I25" s="31"/>
    </row>
    <row r="26" spans="1:9" x14ac:dyDescent="0.35">
      <c r="A26" s="17"/>
      <c r="B26" s="17"/>
      <c r="C26" s="17"/>
      <c r="D26" s="17"/>
      <c r="E26" s="17"/>
      <c r="F26" s="17"/>
      <c r="G26" s="17"/>
      <c r="H26" s="17"/>
      <c r="I26" s="31"/>
    </row>
    <row r="27" spans="1:9" x14ac:dyDescent="0.35">
      <c r="A27" s="17"/>
      <c r="B27" s="17"/>
      <c r="C27" s="17"/>
      <c r="D27" s="17"/>
      <c r="E27" s="17"/>
      <c r="F27" s="17"/>
      <c r="G27" s="17"/>
      <c r="H27" s="17"/>
      <c r="I27" s="31"/>
    </row>
    <row r="28" spans="1:9" x14ac:dyDescent="0.35">
      <c r="A28" s="17"/>
      <c r="B28" s="17"/>
      <c r="C28" s="17"/>
      <c r="D28" s="17"/>
      <c r="E28" s="17"/>
      <c r="F28" s="17"/>
      <c r="G28" s="17"/>
      <c r="H28" s="17"/>
      <c r="I28" s="31"/>
    </row>
    <row r="29" spans="1:9" x14ac:dyDescent="0.35">
      <c r="A29" s="17"/>
      <c r="B29" s="17"/>
      <c r="C29" s="17"/>
      <c r="D29" s="17"/>
      <c r="E29" s="17"/>
      <c r="F29" s="17"/>
      <c r="G29" s="17"/>
      <c r="H29" s="17"/>
      <c r="I29" s="31"/>
    </row>
    <row r="30" spans="1:9" x14ac:dyDescent="0.35">
      <c r="A30" s="17"/>
      <c r="B30" s="17"/>
      <c r="C30" s="17"/>
      <c r="D30" s="17"/>
      <c r="E30" s="17"/>
      <c r="F30" s="17"/>
      <c r="G30" s="17"/>
      <c r="H30" s="17"/>
      <c r="I30" s="31"/>
    </row>
    <row r="31" spans="1:9" x14ac:dyDescent="0.35">
      <c r="A31" s="17"/>
      <c r="B31" s="17"/>
      <c r="C31" s="17"/>
      <c r="D31" s="17"/>
      <c r="E31" s="17"/>
      <c r="F31" s="17"/>
      <c r="G31" s="17"/>
      <c r="H31" s="17"/>
      <c r="I31" s="31"/>
    </row>
    <row r="32" spans="1:9" x14ac:dyDescent="0.35">
      <c r="A32" s="17"/>
      <c r="B32" s="17"/>
      <c r="C32" s="17"/>
      <c r="D32" s="17"/>
      <c r="E32" s="17"/>
      <c r="F32" s="17"/>
      <c r="G32" s="17"/>
      <c r="H32" s="17"/>
      <c r="I32" s="31"/>
    </row>
    <row r="33" spans="1:9" x14ac:dyDescent="0.35">
      <c r="A33" s="17"/>
      <c r="B33" s="17"/>
      <c r="C33" s="17"/>
      <c r="D33" s="17"/>
      <c r="E33" s="17"/>
      <c r="F33" s="17"/>
      <c r="G33" s="17"/>
      <c r="H33" s="17"/>
      <c r="I33" s="31"/>
    </row>
    <row r="34" spans="1:9" x14ac:dyDescent="0.35">
      <c r="A34" s="17"/>
      <c r="B34" s="17"/>
      <c r="C34" s="17"/>
      <c r="D34" s="17"/>
      <c r="E34" s="17"/>
      <c r="F34" s="17"/>
      <c r="G34" s="17"/>
      <c r="H34" s="17"/>
      <c r="I34" s="31"/>
    </row>
    <row r="35" spans="1:9" x14ac:dyDescent="0.35">
      <c r="A35" s="17"/>
      <c r="B35" s="17"/>
      <c r="C35" s="17"/>
      <c r="D35" s="17"/>
      <c r="E35" s="17"/>
      <c r="F35" s="17"/>
      <c r="G35" s="17"/>
      <c r="H35" s="17"/>
      <c r="I35" s="31"/>
    </row>
    <row r="36" spans="1:9" x14ac:dyDescent="0.35">
      <c r="A36" s="17"/>
      <c r="B36" s="17"/>
      <c r="C36" s="17"/>
      <c r="D36" s="17"/>
      <c r="E36" s="17"/>
      <c r="F36" s="17"/>
      <c r="G36" s="17"/>
      <c r="H36" s="17"/>
      <c r="I36" s="31"/>
    </row>
    <row r="37" spans="1:9" x14ac:dyDescent="0.35">
      <c r="A37" s="17"/>
      <c r="B37" s="17"/>
      <c r="C37" s="17"/>
      <c r="D37" s="17"/>
      <c r="E37" s="17"/>
      <c r="F37" s="17"/>
      <c r="G37" s="17"/>
      <c r="H37" s="17"/>
      <c r="I37" s="31"/>
    </row>
    <row r="38" spans="1:9" x14ac:dyDescent="0.35">
      <c r="A38" s="17"/>
      <c r="B38" s="17"/>
      <c r="C38" s="17"/>
      <c r="D38" s="17"/>
      <c r="E38" s="17"/>
      <c r="F38" s="17"/>
      <c r="G38" s="17"/>
      <c r="H38" s="17"/>
      <c r="I38" s="31"/>
    </row>
    <row r="39" spans="1:9" x14ac:dyDescent="0.35">
      <c r="A39" s="17"/>
      <c r="B39" s="17"/>
      <c r="C39" s="17"/>
      <c r="D39" s="17"/>
      <c r="E39" s="17"/>
      <c r="F39" s="17"/>
      <c r="G39" s="17"/>
      <c r="H39" s="17"/>
      <c r="I39" s="31"/>
    </row>
    <row r="40" spans="1:9" x14ac:dyDescent="0.35">
      <c r="A40" s="17"/>
      <c r="B40" s="17"/>
      <c r="C40" s="17"/>
      <c r="D40" s="17"/>
      <c r="E40" s="17"/>
      <c r="F40" s="17"/>
      <c r="G40" s="17"/>
      <c r="H40" s="17"/>
      <c r="I40" s="31"/>
    </row>
    <row r="41" spans="1:9" x14ac:dyDescent="0.35">
      <c r="A41" s="17"/>
      <c r="B41" s="17"/>
      <c r="C41" s="17"/>
      <c r="D41" s="17"/>
      <c r="E41" s="17"/>
      <c r="F41" s="17"/>
      <c r="G41" s="17"/>
      <c r="H41" s="17"/>
      <c r="I41" s="31"/>
    </row>
    <row r="42" spans="1:9" x14ac:dyDescent="0.35">
      <c r="A42" s="17"/>
      <c r="B42" s="17"/>
      <c r="C42" s="17"/>
      <c r="D42" s="17"/>
      <c r="E42" s="17"/>
      <c r="F42" s="17"/>
      <c r="G42" s="17"/>
      <c r="H42" s="17"/>
      <c r="I42" s="31"/>
    </row>
    <row r="43" spans="1:9" x14ac:dyDescent="0.35">
      <c r="A43" s="17"/>
      <c r="B43" s="17"/>
      <c r="C43" s="17"/>
      <c r="D43" s="17"/>
      <c r="E43" s="17"/>
      <c r="F43" s="17"/>
      <c r="G43" s="17"/>
      <c r="H43" s="17"/>
      <c r="I43" s="31"/>
    </row>
    <row r="44" spans="1:9" x14ac:dyDescent="0.35">
      <c r="A44" s="17"/>
      <c r="B44" s="17"/>
      <c r="C44" s="17"/>
      <c r="D44" s="17"/>
      <c r="E44" s="17"/>
      <c r="F44" s="17"/>
      <c r="G44" s="17"/>
      <c r="H44" s="17"/>
      <c r="I44" s="31"/>
    </row>
    <row r="45" spans="1:9" x14ac:dyDescent="0.35">
      <c r="A45" s="17"/>
      <c r="B45" s="17"/>
      <c r="C45" s="17"/>
      <c r="D45" s="17"/>
      <c r="E45" s="17"/>
      <c r="F45" s="17"/>
      <c r="G45" s="17"/>
      <c r="H45" s="17"/>
      <c r="I45" s="31"/>
    </row>
    <row r="46" spans="1:9" x14ac:dyDescent="0.35">
      <c r="A46" s="17"/>
      <c r="B46" s="17"/>
      <c r="C46" s="17"/>
      <c r="D46" s="17"/>
      <c r="E46" s="17"/>
      <c r="F46" s="17"/>
      <c r="G46" s="17"/>
      <c r="H46" s="17"/>
      <c r="I46" s="31"/>
    </row>
    <row r="47" spans="1:9" x14ac:dyDescent="0.35">
      <c r="A47" s="17"/>
      <c r="B47" s="17"/>
      <c r="C47" s="17"/>
      <c r="D47" s="17"/>
      <c r="E47" s="17"/>
      <c r="F47" s="17"/>
      <c r="G47" s="17"/>
      <c r="H47" s="17"/>
      <c r="I47" s="31"/>
    </row>
    <row r="48" spans="1:9" x14ac:dyDescent="0.35">
      <c r="A48" s="17"/>
      <c r="B48" s="17"/>
      <c r="C48" s="17"/>
      <c r="D48" s="17"/>
      <c r="E48" s="17"/>
      <c r="F48" s="17"/>
      <c r="G48" s="17"/>
      <c r="H48" s="17"/>
      <c r="I48" s="31"/>
    </row>
    <row r="49" spans="1:9" x14ac:dyDescent="0.35">
      <c r="A49" s="17"/>
      <c r="B49" s="17"/>
      <c r="C49" s="17"/>
      <c r="D49" s="17"/>
      <c r="E49" s="17"/>
      <c r="F49" s="17"/>
      <c r="G49" s="17"/>
      <c r="H49" s="17"/>
      <c r="I49" s="31"/>
    </row>
    <row r="50" spans="1:9" x14ac:dyDescent="0.35">
      <c r="A50" s="17"/>
      <c r="B50" s="17"/>
      <c r="C50" s="17"/>
      <c r="D50" s="17"/>
      <c r="E50" s="17"/>
      <c r="F50" s="17"/>
      <c r="G50" s="17"/>
      <c r="H50" s="17"/>
      <c r="I50" s="31"/>
    </row>
    <row r="51" spans="1:9" x14ac:dyDescent="0.35">
      <c r="A51" s="17"/>
      <c r="B51" s="17"/>
      <c r="C51" s="17"/>
      <c r="D51" s="17"/>
      <c r="E51" s="17"/>
      <c r="F51" s="17"/>
      <c r="G51" s="17"/>
      <c r="H51" s="17"/>
      <c r="I51" s="31"/>
    </row>
    <row r="52" spans="1:9" x14ac:dyDescent="0.35">
      <c r="A52" s="17"/>
      <c r="B52" s="17"/>
      <c r="C52" s="17"/>
      <c r="D52" s="17"/>
      <c r="E52" s="17"/>
      <c r="F52" s="17"/>
      <c r="G52" s="17"/>
      <c r="H52" s="17"/>
      <c r="I52" s="31"/>
    </row>
    <row r="53" spans="1:9" x14ac:dyDescent="0.35">
      <c r="A53" s="17"/>
      <c r="B53" s="17"/>
      <c r="C53" s="17"/>
      <c r="D53" s="17"/>
      <c r="E53" s="17"/>
      <c r="F53" s="17"/>
      <c r="G53" s="17"/>
      <c r="H53" s="17"/>
      <c r="I53" s="31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23" priority="48" operator="containsText" text="Incomplete">
      <formula>NOT(ISERROR(SEARCH(("Incomplete"),(G1))))</formula>
    </cfRule>
    <cfRule type="containsText" dxfId="222" priority="46" operator="containsText" text="Passed">
      <formula>NOT(ISERROR(SEARCH(("Passed"),(G1))))</formula>
    </cfRule>
    <cfRule type="containsText" dxfId="221" priority="47" operator="containsText" text="Failed">
      <formula>NOT(ISERROR(SEARCH(("Failed"),(G1))))</formula>
    </cfRule>
  </conditionalFormatting>
  <conditionalFormatting sqref="I6:I53">
    <cfRule type="containsText" dxfId="220" priority="1" operator="containsText" text="Passed">
      <formula>NOT(ISERROR(SEARCH(("Passed"),(I6))))</formula>
    </cfRule>
    <cfRule type="containsText" dxfId="219" priority="2" operator="containsText" text="Failed">
      <formula>NOT(ISERROR(SEARCH(("Failed"),(I6))))</formula>
    </cfRule>
    <cfRule type="containsText" dxfId="218" priority="3" operator="containsText" text="Bug ok">
      <formula>NOT(ISERROR(SEARCH(("Bug ok"),(I6))))</formula>
    </cfRule>
    <cfRule type="containsText" dxfId="217" priority="4" operator="containsText" text="Blocked">
      <formula>NOT(ISERROR(SEARCH(("Blocked"),(I6))))</formula>
    </cfRule>
    <cfRule type="containsText" dxfId="216" priority="5" operator="containsText" text="Cannot run">
      <formula>NOT(ISERROR(SEARCH(("Cannot run"),(J6))))</formula>
    </cfRule>
  </conditionalFormatting>
  <dataValidations count="1">
    <dataValidation type="list" allowBlank="1" showErrorMessage="1" sqref="I6:I53" xr:uid="{385C2A1C-3491-46A0-BD43-622610626D97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3099-612F-4FBE-9B59-6CC816860E28}">
  <dimension ref="A1:J47"/>
  <sheetViews>
    <sheetView workbookViewId="0">
      <selection activeCell="H18" sqref="H18"/>
    </sheetView>
  </sheetViews>
  <sheetFormatPr defaultRowHeight="14.5" x14ac:dyDescent="0.35"/>
  <cols>
    <col min="1" max="1" width="38.54296875" customWidth="1"/>
    <col min="2" max="10" width="27.7265625" customWidth="1"/>
  </cols>
  <sheetData>
    <row r="1" spans="1:10" ht="15.5" x14ac:dyDescent="0.35">
      <c r="A1" s="76"/>
      <c r="B1" s="85" t="s">
        <v>2</v>
      </c>
      <c r="C1" s="78"/>
      <c r="D1" s="86" t="s">
        <v>1334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COUNTIF(A6:A51,"TC-??")</f>
        <v>10</v>
      </c>
      <c r="H2" s="14">
        <f>COUNTIF(I4:I908,"Đạt")</f>
        <v>10</v>
      </c>
      <c r="I2" s="6">
        <f>COUNTIF(G4:G908,"Không Đạt")</f>
        <v>0</v>
      </c>
      <c r="J2" s="6">
        <f>COUNTIF(G4:G908,"Chưa Xong")</f>
        <v>0</v>
      </c>
    </row>
    <row r="3" spans="1:10" ht="18" x14ac:dyDescent="0.35">
      <c r="A3" s="76"/>
      <c r="B3" s="85" t="s">
        <v>55</v>
      </c>
      <c r="C3" s="78"/>
      <c r="D3" s="88">
        <v>45982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29" x14ac:dyDescent="0.35">
      <c r="A6" s="17" t="s">
        <v>65</v>
      </c>
      <c r="B6" s="17" t="s">
        <v>1335</v>
      </c>
      <c r="C6" s="17" t="s">
        <v>1336</v>
      </c>
      <c r="D6" s="17" t="s">
        <v>1337</v>
      </c>
      <c r="E6" s="17" t="s">
        <v>1338</v>
      </c>
      <c r="F6" s="17" t="s">
        <v>1339</v>
      </c>
      <c r="G6" s="33" t="s">
        <v>1340</v>
      </c>
      <c r="H6" s="17" t="s">
        <v>1341</v>
      </c>
      <c r="I6" s="31" t="s">
        <v>4</v>
      </c>
    </row>
    <row r="7" spans="1:10" ht="43.5" x14ac:dyDescent="0.35">
      <c r="A7" s="17" t="s">
        <v>72</v>
      </c>
      <c r="B7" s="17" t="s">
        <v>1342</v>
      </c>
      <c r="C7" s="17" t="s">
        <v>1343</v>
      </c>
      <c r="D7" s="17" t="s">
        <v>1344</v>
      </c>
      <c r="E7" s="17" t="s">
        <v>1345</v>
      </c>
      <c r="F7" s="17" t="s">
        <v>1346</v>
      </c>
      <c r="G7" s="17" t="s">
        <v>1347</v>
      </c>
      <c r="H7" s="17" t="s">
        <v>1348</v>
      </c>
      <c r="I7" s="31" t="s">
        <v>4</v>
      </c>
    </row>
    <row r="8" spans="1:10" ht="43.5" x14ac:dyDescent="0.35">
      <c r="A8" s="17" t="s">
        <v>77</v>
      </c>
      <c r="B8" s="17" t="s">
        <v>1349</v>
      </c>
      <c r="C8" s="17" t="s">
        <v>1343</v>
      </c>
      <c r="D8" s="17" t="s">
        <v>1350</v>
      </c>
      <c r="E8" s="17" t="s">
        <v>1351</v>
      </c>
      <c r="F8" s="17" t="s">
        <v>1352</v>
      </c>
      <c r="G8" s="17" t="s">
        <v>1353</v>
      </c>
      <c r="H8" s="17" t="s">
        <v>1354</v>
      </c>
      <c r="I8" s="31" t="s">
        <v>4</v>
      </c>
    </row>
    <row r="9" spans="1:10" ht="29" x14ac:dyDescent="0.35">
      <c r="A9" s="17" t="s">
        <v>83</v>
      </c>
      <c r="B9" s="17" t="s">
        <v>1355</v>
      </c>
      <c r="C9" s="17" t="s">
        <v>1343</v>
      </c>
      <c r="D9" s="17" t="s">
        <v>1356</v>
      </c>
      <c r="E9" s="17" t="s">
        <v>1351</v>
      </c>
      <c r="F9" s="17" t="s">
        <v>1357</v>
      </c>
      <c r="G9" s="17" t="s">
        <v>1358</v>
      </c>
      <c r="H9" s="17" t="s">
        <v>1359</v>
      </c>
      <c r="I9" s="31" t="s">
        <v>4</v>
      </c>
    </row>
    <row r="10" spans="1:10" ht="29" x14ac:dyDescent="0.35">
      <c r="A10" s="17" t="s">
        <v>88</v>
      </c>
      <c r="B10" s="17" t="s">
        <v>1360</v>
      </c>
      <c r="C10" s="17" t="s">
        <v>1343</v>
      </c>
      <c r="D10" s="17" t="s">
        <v>434</v>
      </c>
      <c r="E10" s="17" t="s">
        <v>1361</v>
      </c>
      <c r="F10" s="17" t="s">
        <v>1362</v>
      </c>
      <c r="G10" s="17" t="s">
        <v>1363</v>
      </c>
      <c r="H10" s="17" t="s">
        <v>1364</v>
      </c>
      <c r="I10" s="31" t="s">
        <v>4</v>
      </c>
    </row>
    <row r="11" spans="1:10" ht="29" x14ac:dyDescent="0.35">
      <c r="A11" s="17" t="s">
        <v>233</v>
      </c>
      <c r="B11" s="17" t="s">
        <v>1365</v>
      </c>
      <c r="C11" s="17" t="s">
        <v>1343</v>
      </c>
      <c r="D11" s="17" t="s">
        <v>1315</v>
      </c>
      <c r="E11" s="17" t="s">
        <v>1351</v>
      </c>
      <c r="F11" s="17" t="s">
        <v>1366</v>
      </c>
      <c r="G11" s="17" t="s">
        <v>1367</v>
      </c>
      <c r="H11" s="17" t="s">
        <v>1368</v>
      </c>
      <c r="I11" s="31" t="s">
        <v>4</v>
      </c>
    </row>
    <row r="12" spans="1:10" ht="29" x14ac:dyDescent="0.35">
      <c r="A12" s="17" t="s">
        <v>93</v>
      </c>
      <c r="B12" s="17" t="s">
        <v>1369</v>
      </c>
      <c r="C12" s="17" t="s">
        <v>1343</v>
      </c>
      <c r="D12" s="17" t="s">
        <v>1321</v>
      </c>
      <c r="E12" s="17" t="s">
        <v>1370</v>
      </c>
      <c r="F12" s="17" t="s">
        <v>1371</v>
      </c>
      <c r="G12" s="17" t="s">
        <v>1372</v>
      </c>
      <c r="H12" s="17" t="s">
        <v>1373</v>
      </c>
      <c r="I12" s="31" t="s">
        <v>4</v>
      </c>
    </row>
    <row r="13" spans="1:10" ht="29" x14ac:dyDescent="0.35">
      <c r="A13" s="17" t="s">
        <v>98</v>
      </c>
      <c r="B13" s="17" t="s">
        <v>1374</v>
      </c>
      <c r="C13" s="17" t="s">
        <v>1343</v>
      </c>
      <c r="D13" s="17" t="s">
        <v>314</v>
      </c>
      <c r="E13" s="17" t="s">
        <v>1351</v>
      </c>
      <c r="F13" s="17" t="s">
        <v>1327</v>
      </c>
      <c r="G13" s="17" t="s">
        <v>1375</v>
      </c>
      <c r="H13" s="17" t="s">
        <v>1376</v>
      </c>
      <c r="I13" s="31" t="s">
        <v>4</v>
      </c>
    </row>
    <row r="14" spans="1:10" ht="29" x14ac:dyDescent="0.35">
      <c r="A14" s="17" t="s">
        <v>105</v>
      </c>
      <c r="B14" s="17" t="s">
        <v>1377</v>
      </c>
      <c r="C14" s="17" t="s">
        <v>1343</v>
      </c>
      <c r="D14" s="17" t="s">
        <v>1330</v>
      </c>
      <c r="E14" s="17" t="s">
        <v>1378</v>
      </c>
      <c r="F14" s="17" t="s">
        <v>1275</v>
      </c>
      <c r="G14" s="17" t="s">
        <v>1332</v>
      </c>
      <c r="H14" s="17" t="s">
        <v>1379</v>
      </c>
      <c r="I14" s="31" t="s">
        <v>4</v>
      </c>
    </row>
    <row r="15" spans="1:10" ht="43.5" x14ac:dyDescent="0.35">
      <c r="A15" s="17" t="s">
        <v>113</v>
      </c>
      <c r="B15" s="17" t="s">
        <v>1380</v>
      </c>
      <c r="C15" s="17" t="s">
        <v>1343</v>
      </c>
      <c r="D15" s="17" t="s">
        <v>1207</v>
      </c>
      <c r="E15" s="17" t="s">
        <v>1381</v>
      </c>
      <c r="F15" s="17" t="s">
        <v>1382</v>
      </c>
      <c r="G15" s="33" t="s">
        <v>1383</v>
      </c>
      <c r="H15" s="17" t="s">
        <v>1384</v>
      </c>
      <c r="I15" s="31" t="s">
        <v>4</v>
      </c>
    </row>
    <row r="16" spans="1:10" x14ac:dyDescent="0.35">
      <c r="A16" s="17"/>
      <c r="B16" s="17"/>
      <c r="C16" s="26"/>
      <c r="D16" s="17"/>
      <c r="E16" s="17"/>
      <c r="F16" s="17"/>
      <c r="G16" s="17"/>
      <c r="H16" s="17"/>
      <c r="I16" s="31"/>
    </row>
    <row r="17" spans="1:9" x14ac:dyDescent="0.35">
      <c r="A17" s="17"/>
      <c r="B17" s="17"/>
      <c r="C17" s="26"/>
      <c r="D17" s="17"/>
      <c r="E17" s="17"/>
      <c r="F17" s="17"/>
      <c r="G17" s="17"/>
      <c r="H17" s="17"/>
      <c r="I17" s="31"/>
    </row>
    <row r="18" spans="1:9" x14ac:dyDescent="0.35">
      <c r="A18" s="17"/>
      <c r="B18" s="17"/>
      <c r="C18" s="26"/>
      <c r="D18" s="17"/>
      <c r="E18" s="17"/>
      <c r="F18" s="17"/>
      <c r="G18" s="17"/>
      <c r="H18" s="17"/>
      <c r="I18" s="31"/>
    </row>
    <row r="19" spans="1:9" x14ac:dyDescent="0.35">
      <c r="A19" s="17"/>
      <c r="B19" s="17"/>
      <c r="C19" s="26"/>
      <c r="D19" s="17"/>
      <c r="E19" s="17"/>
      <c r="F19" s="17"/>
      <c r="G19" s="17"/>
      <c r="H19" s="17"/>
      <c r="I19" s="31"/>
    </row>
    <row r="20" spans="1:9" x14ac:dyDescent="0.35">
      <c r="A20" s="17"/>
      <c r="B20" s="17"/>
      <c r="C20" s="26"/>
      <c r="D20" s="17"/>
      <c r="E20" s="17"/>
      <c r="F20" s="17"/>
      <c r="G20" s="17"/>
      <c r="H20" s="17"/>
      <c r="I20" s="31"/>
    </row>
    <row r="21" spans="1:9" x14ac:dyDescent="0.35">
      <c r="A21" s="17"/>
      <c r="B21" s="17"/>
      <c r="C21" s="26"/>
      <c r="D21" s="17"/>
      <c r="E21" s="17"/>
      <c r="F21" s="17"/>
      <c r="G21" s="17"/>
      <c r="H21" s="17"/>
      <c r="I21" s="31"/>
    </row>
    <row r="22" spans="1:9" x14ac:dyDescent="0.35">
      <c r="A22" s="17"/>
      <c r="B22" s="17"/>
      <c r="C22" s="26"/>
      <c r="D22" s="17"/>
      <c r="E22" s="17"/>
      <c r="F22" s="17"/>
      <c r="G22" s="17"/>
      <c r="H22" s="17"/>
      <c r="I22" s="31"/>
    </row>
    <row r="23" spans="1:9" x14ac:dyDescent="0.35">
      <c r="A23" s="17"/>
      <c r="B23" s="17"/>
      <c r="C23" s="26"/>
      <c r="D23" s="17"/>
      <c r="E23" s="17"/>
      <c r="F23" s="17"/>
      <c r="G23" s="17"/>
      <c r="H23" s="17"/>
      <c r="I23" s="31"/>
    </row>
    <row r="24" spans="1:9" x14ac:dyDescent="0.35">
      <c r="A24" s="17"/>
      <c r="B24" s="17"/>
      <c r="C24" s="26"/>
      <c r="D24" s="17"/>
      <c r="E24" s="17"/>
      <c r="F24" s="17"/>
      <c r="G24" s="17"/>
      <c r="H24" s="17"/>
      <c r="I24" s="31"/>
    </row>
    <row r="25" spans="1:9" x14ac:dyDescent="0.35">
      <c r="A25" s="17"/>
      <c r="B25" s="17"/>
      <c r="C25" s="26"/>
      <c r="D25" s="17"/>
      <c r="E25" s="17"/>
      <c r="F25" s="17"/>
      <c r="G25" s="17"/>
      <c r="H25" s="17"/>
      <c r="I25" s="31"/>
    </row>
    <row r="26" spans="1:9" x14ac:dyDescent="0.35">
      <c r="A26" s="17"/>
      <c r="B26" s="17"/>
      <c r="C26" s="26"/>
      <c r="D26" s="17"/>
      <c r="E26" s="17"/>
      <c r="F26" s="17"/>
      <c r="G26" s="17"/>
      <c r="H26" s="17"/>
      <c r="I26" s="31"/>
    </row>
    <row r="27" spans="1:9" x14ac:dyDescent="0.35">
      <c r="A27" s="17"/>
      <c r="B27" s="17"/>
      <c r="C27" s="26"/>
      <c r="D27" s="17"/>
      <c r="E27" s="17"/>
      <c r="F27" s="17"/>
      <c r="G27" s="17"/>
      <c r="H27" s="17"/>
      <c r="I27" s="31"/>
    </row>
    <row r="28" spans="1:9" x14ac:dyDescent="0.35">
      <c r="A28" s="17"/>
      <c r="B28" s="17"/>
      <c r="C28" s="26"/>
      <c r="D28" s="17"/>
      <c r="E28" s="17"/>
      <c r="F28" s="17"/>
      <c r="G28" s="17"/>
      <c r="H28" s="17"/>
      <c r="I28" s="31"/>
    </row>
    <row r="29" spans="1:9" x14ac:dyDescent="0.35">
      <c r="A29" s="17"/>
      <c r="B29" s="17"/>
      <c r="C29" s="26"/>
      <c r="D29" s="17"/>
      <c r="E29" s="17"/>
      <c r="F29" s="17"/>
      <c r="G29" s="17"/>
      <c r="H29" s="17"/>
      <c r="I29" s="31"/>
    </row>
    <row r="30" spans="1:9" x14ac:dyDescent="0.35">
      <c r="A30" s="17"/>
      <c r="B30" s="17"/>
      <c r="C30" s="26"/>
      <c r="D30" s="17"/>
      <c r="E30" s="17"/>
      <c r="F30" s="17"/>
      <c r="G30" s="17"/>
      <c r="H30" s="17"/>
      <c r="I30" s="31"/>
    </row>
    <row r="31" spans="1:9" x14ac:dyDescent="0.35">
      <c r="A31" s="17"/>
      <c r="B31" s="17"/>
      <c r="C31" s="26"/>
      <c r="D31" s="17"/>
      <c r="E31" s="17"/>
      <c r="F31" s="17"/>
      <c r="G31" s="17"/>
      <c r="H31" s="17"/>
      <c r="I31" s="31"/>
    </row>
    <row r="32" spans="1:9" x14ac:dyDescent="0.35">
      <c r="A32" s="17"/>
      <c r="B32" s="17"/>
      <c r="C32" s="26"/>
      <c r="D32" s="17"/>
      <c r="E32" s="17"/>
      <c r="F32" s="17"/>
      <c r="G32" s="17"/>
      <c r="H32" s="17"/>
      <c r="I32" s="31"/>
    </row>
    <row r="33" spans="1:9" x14ac:dyDescent="0.35">
      <c r="A33" s="17"/>
      <c r="B33" s="17"/>
      <c r="C33" s="26"/>
      <c r="D33" s="17"/>
      <c r="E33" s="17"/>
      <c r="F33" s="17"/>
      <c r="G33" s="17"/>
      <c r="H33" s="17"/>
      <c r="I33" s="31"/>
    </row>
    <row r="34" spans="1:9" x14ac:dyDescent="0.35">
      <c r="A34" s="17"/>
      <c r="B34" s="17"/>
      <c r="C34" s="26"/>
      <c r="D34" s="17"/>
      <c r="E34" s="17"/>
      <c r="F34" s="17"/>
      <c r="G34" s="17"/>
      <c r="H34" s="17"/>
      <c r="I34" s="31"/>
    </row>
    <row r="35" spans="1:9" x14ac:dyDescent="0.35">
      <c r="A35" s="17"/>
      <c r="B35" s="17"/>
      <c r="C35" s="26"/>
      <c r="D35" s="17"/>
      <c r="E35" s="17"/>
      <c r="F35" s="17"/>
      <c r="G35" s="17"/>
      <c r="H35" s="17"/>
      <c r="I35" s="31"/>
    </row>
    <row r="36" spans="1:9" x14ac:dyDescent="0.35">
      <c r="A36" s="17"/>
      <c r="B36" s="17"/>
      <c r="C36" s="26"/>
      <c r="D36" s="17"/>
      <c r="E36" s="17"/>
      <c r="F36" s="17"/>
      <c r="G36" s="17"/>
      <c r="H36" s="17"/>
      <c r="I36" s="31"/>
    </row>
    <row r="37" spans="1:9" x14ac:dyDescent="0.35">
      <c r="A37" s="17"/>
      <c r="B37" s="17"/>
      <c r="C37" s="26"/>
      <c r="D37" s="17"/>
      <c r="E37" s="17"/>
      <c r="F37" s="17"/>
      <c r="G37" s="17"/>
      <c r="H37" s="17"/>
      <c r="I37" s="31"/>
    </row>
    <row r="38" spans="1:9" x14ac:dyDescent="0.35">
      <c r="A38" s="17"/>
      <c r="B38" s="17"/>
      <c r="C38" s="26"/>
      <c r="D38" s="17"/>
      <c r="E38" s="17"/>
      <c r="F38" s="17"/>
      <c r="G38" s="17"/>
      <c r="H38" s="17"/>
      <c r="I38" s="31"/>
    </row>
    <row r="39" spans="1:9" x14ac:dyDescent="0.35">
      <c r="A39" s="17"/>
      <c r="B39" s="17"/>
      <c r="C39" s="26"/>
      <c r="D39" s="17"/>
      <c r="E39" s="17"/>
      <c r="F39" s="17"/>
      <c r="G39" s="17"/>
      <c r="H39" s="17"/>
      <c r="I39" s="31"/>
    </row>
    <row r="40" spans="1:9" x14ac:dyDescent="0.35">
      <c r="A40" s="17"/>
      <c r="B40" s="17"/>
      <c r="C40" s="26"/>
      <c r="D40" s="17"/>
      <c r="E40" s="17"/>
      <c r="F40" s="17"/>
      <c r="G40" s="17"/>
      <c r="H40" s="17"/>
      <c r="I40" s="31"/>
    </row>
    <row r="41" spans="1:9" x14ac:dyDescent="0.35">
      <c r="A41" s="17"/>
      <c r="B41" s="17"/>
      <c r="C41" s="26"/>
      <c r="D41" s="17"/>
      <c r="E41" s="17"/>
      <c r="F41" s="17"/>
      <c r="G41" s="17"/>
      <c r="H41" s="17"/>
      <c r="I41" s="31"/>
    </row>
    <row r="42" spans="1:9" x14ac:dyDescent="0.35">
      <c r="A42" s="17"/>
      <c r="B42" s="17"/>
      <c r="C42" s="26"/>
      <c r="D42" s="17"/>
      <c r="E42" s="17"/>
      <c r="F42" s="17"/>
      <c r="G42" s="17"/>
      <c r="H42" s="17"/>
      <c r="I42" s="31"/>
    </row>
    <row r="43" spans="1:9" x14ac:dyDescent="0.35">
      <c r="A43" s="17"/>
      <c r="B43" s="17"/>
      <c r="C43" s="26"/>
      <c r="D43" s="17"/>
      <c r="E43" s="17"/>
      <c r="F43" s="17"/>
      <c r="G43" s="17"/>
      <c r="H43" s="17"/>
      <c r="I43" s="31"/>
    </row>
    <row r="44" spans="1:9" x14ac:dyDescent="0.35">
      <c r="A44" s="17"/>
      <c r="B44" s="17"/>
      <c r="C44" s="26"/>
      <c r="D44" s="17"/>
      <c r="E44" s="17"/>
      <c r="F44" s="17"/>
      <c r="G44" s="17"/>
      <c r="H44" s="17"/>
      <c r="I44" s="31"/>
    </row>
    <row r="45" spans="1:9" x14ac:dyDescent="0.35">
      <c r="A45" s="17"/>
      <c r="B45" s="17"/>
      <c r="C45" s="26"/>
      <c r="D45" s="17"/>
      <c r="E45" s="17"/>
      <c r="F45" s="17"/>
      <c r="G45" s="17"/>
      <c r="H45" s="17"/>
      <c r="I45" s="31"/>
    </row>
    <row r="46" spans="1:9" x14ac:dyDescent="0.35">
      <c r="A46" s="17"/>
      <c r="B46" s="17"/>
      <c r="C46" s="26"/>
      <c r="D46" s="17"/>
      <c r="E46" s="17"/>
      <c r="F46" s="17"/>
      <c r="G46" s="17"/>
      <c r="H46" s="17"/>
      <c r="I46" s="31"/>
    </row>
    <row r="47" spans="1:9" x14ac:dyDescent="0.35">
      <c r="A47" s="17"/>
      <c r="B47" s="17"/>
      <c r="C47" s="26"/>
      <c r="D47" s="17"/>
      <c r="E47" s="17"/>
      <c r="F47" s="17"/>
      <c r="G47" s="17"/>
      <c r="H47" s="17"/>
      <c r="I47" s="31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15" priority="6" operator="containsText" text="Passed">
      <formula>NOT(ISERROR(SEARCH(("Passed"),(G1))))</formula>
    </cfRule>
    <cfRule type="containsText" dxfId="214" priority="7" operator="containsText" text="Failed">
      <formula>NOT(ISERROR(SEARCH(("Failed"),(G1))))</formula>
    </cfRule>
    <cfRule type="containsText" dxfId="213" priority="8" operator="containsText" text="Incomplete">
      <formula>NOT(ISERROR(SEARCH(("Incomplete"),(G1))))</formula>
    </cfRule>
  </conditionalFormatting>
  <conditionalFormatting sqref="I6:I47">
    <cfRule type="containsText" dxfId="212" priority="1" operator="containsText" text="Passed">
      <formula>NOT(ISERROR(SEARCH(("Passed"),(I6))))</formula>
    </cfRule>
    <cfRule type="containsText" dxfId="211" priority="2" operator="containsText" text="Failed">
      <formula>NOT(ISERROR(SEARCH(("Failed"),(I6))))</formula>
    </cfRule>
    <cfRule type="containsText" dxfId="210" priority="3" operator="containsText" text="Bug ok">
      <formula>NOT(ISERROR(SEARCH(("Bug ok"),(I6))))</formula>
    </cfRule>
    <cfRule type="containsText" dxfId="209" priority="4" operator="containsText" text="Blocked">
      <formula>NOT(ISERROR(SEARCH(("Blocked"),(I6))))</formula>
    </cfRule>
    <cfRule type="containsText" dxfId="208" priority="5" operator="containsText" text="Cannot run">
      <formula>NOT(ISERROR(SEARCH(("Cannot run"),(J6))))</formula>
    </cfRule>
  </conditionalFormatting>
  <dataValidations count="1">
    <dataValidation type="list" allowBlank="1" showErrorMessage="1" sqref="I6:I47" xr:uid="{281B34B1-4D02-459F-B4D6-AE4A56E42827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4D65-CACB-479A-8429-CD42EF2F687D}">
  <dimension ref="A1:J33"/>
  <sheetViews>
    <sheetView workbookViewId="0">
      <selection activeCell="A7" sqref="A7"/>
    </sheetView>
  </sheetViews>
  <sheetFormatPr defaultRowHeight="14.5" x14ac:dyDescent="0.35"/>
  <cols>
    <col min="1" max="1" width="38.26953125" customWidth="1"/>
    <col min="2" max="6" width="27.7265625" customWidth="1"/>
    <col min="7" max="7" width="31.1796875" customWidth="1"/>
    <col min="8" max="8" width="39.7265625" customWidth="1"/>
    <col min="9" max="10" width="27.7265625" customWidth="1"/>
  </cols>
  <sheetData>
    <row r="1" spans="1:10" ht="15.5" x14ac:dyDescent="0.35">
      <c r="A1" s="76"/>
      <c r="B1" s="85" t="s">
        <v>2</v>
      </c>
      <c r="C1" s="78"/>
      <c r="D1" s="86" t="s">
        <v>1385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COUNTIF(A6:A33,"TC-??")</f>
        <v>20</v>
      </c>
      <c r="H2" s="14">
        <f>COUNTIF(I4:I889,"Đạt")</f>
        <v>20</v>
      </c>
      <c r="I2" s="6">
        <f>COUNTIF(I4:I889,"Không Đạt")</f>
        <v>0</v>
      </c>
      <c r="J2" s="6">
        <f>COUNTIF(I4:I889,"Chưa Xong")</f>
        <v>0</v>
      </c>
    </row>
    <row r="3" spans="1:10" ht="18" x14ac:dyDescent="0.35">
      <c r="A3" s="76"/>
      <c r="B3" s="85" t="s">
        <v>55</v>
      </c>
      <c r="C3" s="78"/>
      <c r="D3" s="88">
        <v>45985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29" x14ac:dyDescent="0.35">
      <c r="A6" s="17" t="s">
        <v>65</v>
      </c>
      <c r="B6" s="17" t="s">
        <v>1386</v>
      </c>
      <c r="C6" s="17" t="s">
        <v>1387</v>
      </c>
      <c r="D6" s="17" t="s">
        <v>1388</v>
      </c>
      <c r="E6" s="17" t="s">
        <v>1389</v>
      </c>
      <c r="F6" s="17" t="s">
        <v>1390</v>
      </c>
      <c r="G6" s="17" t="s">
        <v>1391</v>
      </c>
      <c r="H6" s="17" t="s">
        <v>1392</v>
      </c>
      <c r="I6" s="31" t="s">
        <v>4</v>
      </c>
    </row>
    <row r="7" spans="1:10" ht="43.5" x14ac:dyDescent="0.35">
      <c r="A7" s="17" t="s">
        <v>72</v>
      </c>
      <c r="B7" s="17" t="s">
        <v>1393</v>
      </c>
      <c r="C7" s="17" t="s">
        <v>1387</v>
      </c>
      <c r="D7" s="17" t="s">
        <v>1388</v>
      </c>
      <c r="E7" s="17" t="s">
        <v>1394</v>
      </c>
      <c r="F7" s="17" t="s">
        <v>1395</v>
      </c>
      <c r="G7" s="17" t="s">
        <v>1391</v>
      </c>
      <c r="H7" s="17" t="s">
        <v>1396</v>
      </c>
      <c r="I7" s="31" t="s">
        <v>4</v>
      </c>
    </row>
    <row r="8" spans="1:10" ht="29" x14ac:dyDescent="0.35">
      <c r="A8" s="17" t="s">
        <v>77</v>
      </c>
      <c r="B8" s="17" t="s">
        <v>1397</v>
      </c>
      <c r="C8" s="17" t="s">
        <v>1398</v>
      </c>
      <c r="D8" s="17" t="s">
        <v>1399</v>
      </c>
      <c r="E8" s="17" t="s">
        <v>1400</v>
      </c>
      <c r="F8" s="17" t="s">
        <v>1401</v>
      </c>
      <c r="G8" s="17" t="s">
        <v>1402</v>
      </c>
      <c r="H8" s="17" t="s">
        <v>1403</v>
      </c>
      <c r="I8" s="31" t="s">
        <v>4</v>
      </c>
    </row>
    <row r="9" spans="1:10" ht="29" x14ac:dyDescent="0.35">
      <c r="A9" s="17" t="s">
        <v>83</v>
      </c>
      <c r="B9" s="17" t="s">
        <v>1404</v>
      </c>
      <c r="C9" s="17" t="s">
        <v>1398</v>
      </c>
      <c r="D9" s="17" t="s">
        <v>252</v>
      </c>
      <c r="E9" s="17" t="s">
        <v>1400</v>
      </c>
      <c r="F9" s="17" t="s">
        <v>1405</v>
      </c>
      <c r="G9" s="17" t="s">
        <v>1406</v>
      </c>
      <c r="H9" s="17" t="s">
        <v>1407</v>
      </c>
      <c r="I9" s="31" t="s">
        <v>4</v>
      </c>
    </row>
    <row r="10" spans="1:10" ht="29" x14ac:dyDescent="0.35">
      <c r="A10" s="17" t="s">
        <v>88</v>
      </c>
      <c r="B10" s="17" t="s">
        <v>1408</v>
      </c>
      <c r="C10" s="17" t="s">
        <v>1398</v>
      </c>
      <c r="D10" s="17" t="s">
        <v>252</v>
      </c>
      <c r="E10" s="17" t="s">
        <v>1400</v>
      </c>
      <c r="F10" s="17" t="s">
        <v>1409</v>
      </c>
      <c r="G10" s="17" t="s">
        <v>1410</v>
      </c>
      <c r="H10" s="17" t="s">
        <v>1411</v>
      </c>
      <c r="I10" s="31" t="s">
        <v>4</v>
      </c>
    </row>
    <row r="11" spans="1:10" ht="29" x14ac:dyDescent="0.35">
      <c r="A11" s="17" t="s">
        <v>233</v>
      </c>
      <c r="B11" s="17" t="s">
        <v>1412</v>
      </c>
      <c r="C11" s="17" t="s">
        <v>1398</v>
      </c>
      <c r="D11" s="17" t="s">
        <v>252</v>
      </c>
      <c r="E11" s="17" t="s">
        <v>1400</v>
      </c>
      <c r="F11" s="17" t="s">
        <v>1413</v>
      </c>
      <c r="G11" s="17" t="s">
        <v>1414</v>
      </c>
      <c r="H11" s="17" t="s">
        <v>1415</v>
      </c>
      <c r="I11" s="31" t="s">
        <v>4</v>
      </c>
    </row>
    <row r="12" spans="1:10" ht="29" x14ac:dyDescent="0.35">
      <c r="A12" s="17" t="s">
        <v>93</v>
      </c>
      <c r="B12" s="17" t="s">
        <v>1416</v>
      </c>
      <c r="C12" s="17" t="s">
        <v>1417</v>
      </c>
      <c r="D12" s="17" t="s">
        <v>1418</v>
      </c>
      <c r="E12" s="17" t="s">
        <v>1419</v>
      </c>
      <c r="F12" s="17" t="s">
        <v>1420</v>
      </c>
      <c r="G12" s="17" t="s">
        <v>1421</v>
      </c>
      <c r="H12" s="17" t="s">
        <v>1422</v>
      </c>
      <c r="I12" s="31" t="s">
        <v>4</v>
      </c>
    </row>
    <row r="13" spans="1:10" ht="29" x14ac:dyDescent="0.35">
      <c r="A13" s="17" t="s">
        <v>98</v>
      </c>
      <c r="B13" s="17" t="s">
        <v>1423</v>
      </c>
      <c r="C13" s="17" t="s">
        <v>1417</v>
      </c>
      <c r="D13" s="17" t="s">
        <v>1424</v>
      </c>
      <c r="E13" s="17" t="s">
        <v>1425</v>
      </c>
      <c r="F13" s="17" t="s">
        <v>1426</v>
      </c>
      <c r="G13" s="17" t="s">
        <v>1427</v>
      </c>
      <c r="H13" s="17" t="s">
        <v>1428</v>
      </c>
      <c r="I13" s="31" t="s">
        <v>4</v>
      </c>
    </row>
    <row r="14" spans="1:10" ht="29" x14ac:dyDescent="0.35">
      <c r="A14" s="17" t="s">
        <v>105</v>
      </c>
      <c r="B14" s="17" t="s">
        <v>1429</v>
      </c>
      <c r="C14" s="17" t="s">
        <v>1387</v>
      </c>
      <c r="D14" s="17" t="s">
        <v>1430</v>
      </c>
      <c r="E14" s="17" t="s">
        <v>1431</v>
      </c>
      <c r="F14" s="17" t="s">
        <v>1432</v>
      </c>
      <c r="G14" s="17" t="s">
        <v>1391</v>
      </c>
      <c r="H14" s="17" t="s">
        <v>1433</v>
      </c>
      <c r="I14" s="31" t="s">
        <v>4</v>
      </c>
    </row>
    <row r="15" spans="1:10" ht="29" x14ac:dyDescent="0.35">
      <c r="A15" s="17" t="s">
        <v>113</v>
      </c>
      <c r="B15" s="17" t="s">
        <v>1434</v>
      </c>
      <c r="C15" s="17" t="s">
        <v>1387</v>
      </c>
      <c r="D15" s="17" t="s">
        <v>1435</v>
      </c>
      <c r="E15" s="17" t="s">
        <v>1436</v>
      </c>
      <c r="F15" s="17" t="s">
        <v>1437</v>
      </c>
      <c r="G15" s="17" t="s">
        <v>1438</v>
      </c>
      <c r="H15" s="17" t="s">
        <v>1439</v>
      </c>
      <c r="I15" s="31" t="s">
        <v>4</v>
      </c>
    </row>
    <row r="16" spans="1:10" ht="29" x14ac:dyDescent="0.35">
      <c r="A16" s="17" t="s">
        <v>119</v>
      </c>
      <c r="B16" s="17" t="s">
        <v>1440</v>
      </c>
      <c r="C16" s="17" t="s">
        <v>1387</v>
      </c>
      <c r="D16" s="17" t="s">
        <v>1441</v>
      </c>
      <c r="E16" s="17" t="s">
        <v>1442</v>
      </c>
      <c r="F16" s="17" t="s">
        <v>1443</v>
      </c>
      <c r="G16" s="17" t="s">
        <v>1444</v>
      </c>
      <c r="H16" s="17" t="s">
        <v>1445</v>
      </c>
      <c r="I16" s="31" t="s">
        <v>4</v>
      </c>
    </row>
    <row r="17" spans="1:9" ht="29" x14ac:dyDescent="0.35">
      <c r="A17" s="17" t="s">
        <v>125</v>
      </c>
      <c r="B17" s="17" t="s">
        <v>1446</v>
      </c>
      <c r="C17" s="17" t="s">
        <v>1387</v>
      </c>
      <c r="D17" s="17" t="s">
        <v>1441</v>
      </c>
      <c r="E17" s="17" t="s">
        <v>1447</v>
      </c>
      <c r="F17" s="17" t="s">
        <v>1448</v>
      </c>
      <c r="G17" s="17" t="s">
        <v>1449</v>
      </c>
      <c r="H17" s="17" t="s">
        <v>1450</v>
      </c>
      <c r="I17" s="31" t="s">
        <v>4</v>
      </c>
    </row>
    <row r="18" spans="1:9" ht="29" x14ac:dyDescent="0.35">
      <c r="A18" s="17" t="s">
        <v>132</v>
      </c>
      <c r="B18" s="17" t="s">
        <v>1451</v>
      </c>
      <c r="C18" s="17" t="s">
        <v>1387</v>
      </c>
      <c r="D18" s="17" t="s">
        <v>1452</v>
      </c>
      <c r="E18" s="17" t="s">
        <v>1453</v>
      </c>
      <c r="F18" s="17" t="s">
        <v>1454</v>
      </c>
      <c r="G18" s="17" t="s">
        <v>1455</v>
      </c>
      <c r="H18" s="17" t="s">
        <v>1456</v>
      </c>
      <c r="I18" s="31" t="s">
        <v>4</v>
      </c>
    </row>
    <row r="19" spans="1:9" ht="29" x14ac:dyDescent="0.35">
      <c r="A19" s="17" t="s">
        <v>138</v>
      </c>
      <c r="B19" s="17" t="s">
        <v>1457</v>
      </c>
      <c r="C19" s="17" t="s">
        <v>1458</v>
      </c>
      <c r="D19" s="17" t="s">
        <v>1459</v>
      </c>
      <c r="E19" s="17" t="s">
        <v>1460</v>
      </c>
      <c r="F19" s="17" t="s">
        <v>1461</v>
      </c>
      <c r="G19" s="17" t="s">
        <v>1462</v>
      </c>
      <c r="H19" s="17" t="s">
        <v>1463</v>
      </c>
      <c r="I19" s="31" t="s">
        <v>4</v>
      </c>
    </row>
    <row r="20" spans="1:9" ht="29" x14ac:dyDescent="0.35">
      <c r="A20" s="17" t="s">
        <v>144</v>
      </c>
      <c r="B20" s="17" t="s">
        <v>1464</v>
      </c>
      <c r="C20" s="17" t="s">
        <v>1458</v>
      </c>
      <c r="D20" s="17" t="s">
        <v>1465</v>
      </c>
      <c r="E20" s="17" t="s">
        <v>1466</v>
      </c>
      <c r="F20" s="17" t="s">
        <v>1467</v>
      </c>
      <c r="G20" s="17" t="s">
        <v>1468</v>
      </c>
      <c r="H20" s="17" t="s">
        <v>1469</v>
      </c>
      <c r="I20" s="31" t="s">
        <v>4</v>
      </c>
    </row>
    <row r="21" spans="1:9" ht="29" x14ac:dyDescent="0.35">
      <c r="A21" s="17" t="s">
        <v>150</v>
      </c>
      <c r="B21" s="17" t="s">
        <v>1470</v>
      </c>
      <c r="C21" s="17" t="s">
        <v>1471</v>
      </c>
      <c r="D21" s="17" t="s">
        <v>1472</v>
      </c>
      <c r="E21" s="17" t="s">
        <v>1473</v>
      </c>
      <c r="F21" s="17" t="s">
        <v>1474</v>
      </c>
      <c r="G21" s="17" t="s">
        <v>1475</v>
      </c>
      <c r="H21" s="17" t="s">
        <v>1476</v>
      </c>
      <c r="I21" s="31" t="s">
        <v>4</v>
      </c>
    </row>
    <row r="22" spans="1:9" ht="29" x14ac:dyDescent="0.35">
      <c r="A22" s="17" t="s">
        <v>157</v>
      </c>
      <c r="B22" s="17" t="s">
        <v>1477</v>
      </c>
      <c r="C22" s="17" t="s">
        <v>1478</v>
      </c>
      <c r="D22" s="17" t="s">
        <v>1479</v>
      </c>
      <c r="E22" s="17" t="s">
        <v>1480</v>
      </c>
      <c r="F22" s="17" t="s">
        <v>1481</v>
      </c>
      <c r="G22" s="17" t="s">
        <v>1482</v>
      </c>
      <c r="H22" s="17" t="s">
        <v>1483</v>
      </c>
      <c r="I22" s="31" t="s">
        <v>4</v>
      </c>
    </row>
    <row r="23" spans="1:9" ht="29" x14ac:dyDescent="0.35">
      <c r="A23" s="17" t="s">
        <v>163</v>
      </c>
      <c r="B23" s="17" t="s">
        <v>1484</v>
      </c>
      <c r="C23" s="17" t="s">
        <v>315</v>
      </c>
      <c r="D23" s="17" t="s">
        <v>1485</v>
      </c>
      <c r="E23" s="17" t="s">
        <v>1486</v>
      </c>
      <c r="F23" s="17" t="s">
        <v>1487</v>
      </c>
      <c r="G23" s="17" t="s">
        <v>1488</v>
      </c>
      <c r="H23" s="17" t="s">
        <v>1489</v>
      </c>
      <c r="I23" s="31" t="s">
        <v>4</v>
      </c>
    </row>
    <row r="24" spans="1:9" ht="29" x14ac:dyDescent="0.35">
      <c r="A24" s="17" t="s">
        <v>299</v>
      </c>
      <c r="B24" s="17" t="s">
        <v>1490</v>
      </c>
      <c r="C24" s="17" t="s">
        <v>315</v>
      </c>
      <c r="D24" s="17" t="s">
        <v>1491</v>
      </c>
      <c r="E24" s="17" t="s">
        <v>1331</v>
      </c>
      <c r="F24" s="17" t="s">
        <v>1492</v>
      </c>
      <c r="G24" s="17" t="s">
        <v>1493</v>
      </c>
      <c r="H24" s="17" t="s">
        <v>1494</v>
      </c>
      <c r="I24" s="31" t="s">
        <v>4</v>
      </c>
    </row>
    <row r="25" spans="1:9" ht="29" x14ac:dyDescent="0.35">
      <c r="A25" s="17" t="s">
        <v>306</v>
      </c>
      <c r="B25" s="17" t="s">
        <v>1495</v>
      </c>
      <c r="C25" s="17" t="s">
        <v>315</v>
      </c>
      <c r="D25" s="17" t="s">
        <v>1330</v>
      </c>
      <c r="E25" s="17" t="s">
        <v>1331</v>
      </c>
      <c r="F25" s="17" t="s">
        <v>1496</v>
      </c>
      <c r="G25" s="17" t="s">
        <v>1488</v>
      </c>
      <c r="H25" s="17" t="s">
        <v>1497</v>
      </c>
      <c r="I25" s="31" t="s">
        <v>4</v>
      </c>
    </row>
    <row r="26" spans="1:9" x14ac:dyDescent="0.35">
      <c r="A26" s="17"/>
      <c r="B26" s="27"/>
      <c r="C26" s="17"/>
      <c r="D26" s="27"/>
      <c r="E26" s="27"/>
      <c r="F26" s="27"/>
      <c r="G26" s="27"/>
      <c r="H26" s="27"/>
      <c r="I26" s="31"/>
    </row>
    <row r="27" spans="1:9" x14ac:dyDescent="0.35">
      <c r="A27" s="17"/>
      <c r="B27" s="27"/>
      <c r="C27" s="17"/>
      <c r="D27" s="27"/>
      <c r="E27" s="27"/>
      <c r="F27" s="27"/>
      <c r="G27" s="27"/>
      <c r="H27" s="27"/>
      <c r="I27" s="31"/>
    </row>
    <row r="28" spans="1:9" x14ac:dyDescent="0.35">
      <c r="A28" s="17"/>
      <c r="B28" s="27"/>
      <c r="C28" s="17"/>
      <c r="D28" s="27"/>
      <c r="E28" s="27"/>
      <c r="F28" s="27"/>
      <c r="G28" s="27"/>
      <c r="H28" s="27"/>
      <c r="I28" s="31"/>
    </row>
    <row r="29" spans="1:9" x14ac:dyDescent="0.35">
      <c r="A29" s="17"/>
      <c r="B29" s="27"/>
      <c r="C29" s="17"/>
      <c r="D29" s="27"/>
      <c r="E29" s="27"/>
      <c r="F29" s="27"/>
      <c r="G29" s="27"/>
      <c r="H29" s="27"/>
      <c r="I29" s="31"/>
    </row>
    <row r="30" spans="1:9" x14ac:dyDescent="0.35">
      <c r="A30" s="17"/>
      <c r="B30" s="17"/>
      <c r="C30" s="17"/>
      <c r="D30" s="17"/>
      <c r="E30" s="17"/>
      <c r="F30" s="17"/>
      <c r="G30" s="17"/>
      <c r="H30" s="17"/>
      <c r="I30" s="31"/>
    </row>
    <row r="31" spans="1:9" x14ac:dyDescent="0.35">
      <c r="A31" s="17"/>
      <c r="B31" s="27"/>
      <c r="C31" s="17"/>
      <c r="D31" s="27"/>
      <c r="E31" s="27"/>
      <c r="F31" s="27"/>
      <c r="G31" s="27"/>
      <c r="H31" s="27"/>
      <c r="I31" s="31"/>
    </row>
    <row r="32" spans="1:9" x14ac:dyDescent="0.35">
      <c r="A32" s="17"/>
      <c r="B32" s="27"/>
      <c r="C32" s="17"/>
      <c r="D32" s="27"/>
      <c r="E32" s="27"/>
      <c r="F32" s="27"/>
      <c r="G32" s="27"/>
      <c r="H32" s="27"/>
      <c r="I32" s="31"/>
    </row>
    <row r="33" spans="1:9" x14ac:dyDescent="0.35">
      <c r="A33" s="17"/>
      <c r="B33" s="27"/>
      <c r="C33" s="17"/>
      <c r="D33" s="27"/>
      <c r="E33" s="27"/>
      <c r="F33" s="27"/>
      <c r="G33" s="27"/>
      <c r="H33" s="27"/>
      <c r="I33" s="31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207" priority="6" operator="containsText" text="Passed">
      <formula>NOT(ISERROR(SEARCH(("Passed"),(G1))))</formula>
    </cfRule>
    <cfRule type="containsText" dxfId="206" priority="7" operator="containsText" text="Failed">
      <formula>NOT(ISERROR(SEARCH(("Failed"),(G1))))</formula>
    </cfRule>
    <cfRule type="containsText" dxfId="205" priority="8" operator="containsText" text="Incomplete">
      <formula>NOT(ISERROR(SEARCH(("Incomplete"),(G1))))</formula>
    </cfRule>
  </conditionalFormatting>
  <conditionalFormatting sqref="I6:I33">
    <cfRule type="containsText" dxfId="204" priority="1" operator="containsText" text="Passed">
      <formula>NOT(ISERROR(SEARCH(("Passed"),(I6))))</formula>
    </cfRule>
    <cfRule type="containsText" dxfId="203" priority="2" operator="containsText" text="Failed">
      <formula>NOT(ISERROR(SEARCH(("Failed"),(I6))))</formula>
    </cfRule>
    <cfRule type="containsText" dxfId="202" priority="3" operator="containsText" text="Bug ok">
      <formula>NOT(ISERROR(SEARCH(("Bug ok"),(I6))))</formula>
    </cfRule>
    <cfRule type="containsText" dxfId="201" priority="4" operator="containsText" text="Blocked">
      <formula>NOT(ISERROR(SEARCH(("Blocked"),(I6))))</formula>
    </cfRule>
    <cfRule type="containsText" dxfId="200" priority="5" operator="containsText" text="Cannot run">
      <formula>NOT(ISERROR(SEARCH(("Cannot run"),(J6))))</formula>
    </cfRule>
  </conditionalFormatting>
  <dataValidations count="1">
    <dataValidation type="list" allowBlank="1" showErrorMessage="1" sqref="I6:I33" xr:uid="{C916C609-25F0-431B-A822-4405D7A43059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E55B-BE35-47EE-9377-6E49AC2458E2}">
  <dimension ref="A1:J50"/>
  <sheetViews>
    <sheetView workbookViewId="0">
      <selection activeCell="I5" sqref="I5:I6"/>
    </sheetView>
  </sheetViews>
  <sheetFormatPr defaultRowHeight="14.5" x14ac:dyDescent="0.35"/>
  <cols>
    <col min="1" max="1" width="38" customWidth="1"/>
    <col min="2" max="7" width="27.54296875" customWidth="1"/>
    <col min="8" max="8" width="41.54296875" customWidth="1"/>
    <col min="9" max="10" width="27.54296875" customWidth="1"/>
  </cols>
  <sheetData>
    <row r="1" spans="1:10" ht="15.5" x14ac:dyDescent="0.35">
      <c r="A1" s="76"/>
      <c r="B1" s="85" t="s">
        <v>2</v>
      </c>
      <c r="C1" s="78"/>
      <c r="D1" s="86" t="s">
        <v>1498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COUNTIF(A6:A47,"TC-??")</f>
        <v>16</v>
      </c>
      <c r="H2" s="14">
        <f>COUNTIF(I4:I903,"Đạt")</f>
        <v>16</v>
      </c>
      <c r="I2" s="6">
        <f>COUNTIF(I4:I903,"Không Đạt")</f>
        <v>0</v>
      </c>
      <c r="J2" s="6">
        <f>COUNTIF(I4:I903,"Chưa Xong")</f>
        <v>0</v>
      </c>
    </row>
    <row r="3" spans="1:10" ht="18" x14ac:dyDescent="0.35">
      <c r="A3" s="76"/>
      <c r="B3" s="85" t="s">
        <v>55</v>
      </c>
      <c r="C3" s="78"/>
      <c r="D3" s="88">
        <v>46001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1499</v>
      </c>
      <c r="C6" s="17" t="s">
        <v>1387</v>
      </c>
      <c r="D6" s="17" t="s">
        <v>1500</v>
      </c>
      <c r="E6" s="17" t="s">
        <v>1501</v>
      </c>
      <c r="F6" s="17" t="s">
        <v>1502</v>
      </c>
      <c r="G6" s="17" t="s">
        <v>1503</v>
      </c>
      <c r="H6" s="17" t="s">
        <v>1504</v>
      </c>
      <c r="I6" s="31" t="s">
        <v>4</v>
      </c>
    </row>
    <row r="7" spans="1:10" ht="29" x14ac:dyDescent="0.35">
      <c r="A7" s="17" t="s">
        <v>72</v>
      </c>
      <c r="B7" s="17" t="s">
        <v>1505</v>
      </c>
      <c r="C7" s="17" t="s">
        <v>1387</v>
      </c>
      <c r="D7" s="17" t="s">
        <v>1417</v>
      </c>
      <c r="E7" s="17" t="s">
        <v>1506</v>
      </c>
      <c r="F7" s="17" t="s">
        <v>1507</v>
      </c>
      <c r="G7" s="17" t="s">
        <v>1508</v>
      </c>
      <c r="H7" s="17" t="s">
        <v>1509</v>
      </c>
      <c r="I7" s="31" t="s">
        <v>4</v>
      </c>
    </row>
    <row r="8" spans="1:10" ht="29" x14ac:dyDescent="0.35">
      <c r="A8" s="17" t="s">
        <v>77</v>
      </c>
      <c r="B8" s="17" t="s">
        <v>1510</v>
      </c>
      <c r="C8" s="17" t="s">
        <v>1387</v>
      </c>
      <c r="D8" s="17" t="s">
        <v>252</v>
      </c>
      <c r="E8" s="17" t="s">
        <v>1511</v>
      </c>
      <c r="F8" s="17" t="s">
        <v>1512</v>
      </c>
      <c r="G8" s="17" t="s">
        <v>1513</v>
      </c>
      <c r="H8" s="17" t="s">
        <v>1514</v>
      </c>
      <c r="I8" s="51" t="s">
        <v>4</v>
      </c>
    </row>
    <row r="9" spans="1:10" ht="29" x14ac:dyDescent="0.35">
      <c r="A9" s="17" t="s">
        <v>83</v>
      </c>
      <c r="B9" s="17" t="s">
        <v>1515</v>
      </c>
      <c r="C9" s="17" t="s">
        <v>1387</v>
      </c>
      <c r="D9" s="17" t="s">
        <v>1516</v>
      </c>
      <c r="E9" s="17" t="s">
        <v>1517</v>
      </c>
      <c r="F9" s="17" t="s">
        <v>1518</v>
      </c>
      <c r="G9" s="17" t="s">
        <v>1519</v>
      </c>
      <c r="H9" s="17" t="s">
        <v>1520</v>
      </c>
      <c r="I9" s="51" t="s">
        <v>4</v>
      </c>
    </row>
    <row r="10" spans="1:10" ht="29" x14ac:dyDescent="0.35">
      <c r="A10" s="17" t="s">
        <v>88</v>
      </c>
      <c r="B10" s="17" t="s">
        <v>1521</v>
      </c>
      <c r="C10" s="17" t="s">
        <v>1387</v>
      </c>
      <c r="D10" s="17" t="s">
        <v>1522</v>
      </c>
      <c r="E10" s="17" t="s">
        <v>1523</v>
      </c>
      <c r="F10" s="17" t="s">
        <v>1524</v>
      </c>
      <c r="G10" s="17" t="s">
        <v>1525</v>
      </c>
      <c r="H10" s="17" t="s">
        <v>1526</v>
      </c>
      <c r="I10" s="51" t="s">
        <v>4</v>
      </c>
    </row>
    <row r="11" spans="1:10" ht="29" x14ac:dyDescent="0.35">
      <c r="A11" s="17" t="s">
        <v>233</v>
      </c>
      <c r="B11" s="17" t="s">
        <v>1527</v>
      </c>
      <c r="C11" s="17" t="s">
        <v>1387</v>
      </c>
      <c r="D11" s="17" t="s">
        <v>1528</v>
      </c>
      <c r="E11" s="17" t="s">
        <v>1529</v>
      </c>
      <c r="F11" s="17" t="s">
        <v>1530</v>
      </c>
      <c r="G11" s="17" t="s">
        <v>1531</v>
      </c>
      <c r="H11" s="17" t="s">
        <v>1532</v>
      </c>
      <c r="I11" s="51" t="s">
        <v>4</v>
      </c>
    </row>
    <row r="12" spans="1:10" ht="43.5" x14ac:dyDescent="0.35">
      <c r="A12" s="17" t="s">
        <v>93</v>
      </c>
      <c r="B12" s="17" t="s">
        <v>1533</v>
      </c>
      <c r="C12" s="17" t="s">
        <v>315</v>
      </c>
      <c r="D12" s="17" t="s">
        <v>314</v>
      </c>
      <c r="E12" s="17" t="s">
        <v>1534</v>
      </c>
      <c r="F12" s="17" t="s">
        <v>1327</v>
      </c>
      <c r="G12" s="17" t="s">
        <v>1535</v>
      </c>
      <c r="H12" s="17" t="s">
        <v>1536</v>
      </c>
      <c r="I12" s="51" t="s">
        <v>4</v>
      </c>
    </row>
    <row r="13" spans="1:10" ht="29" x14ac:dyDescent="0.35">
      <c r="A13" s="17" t="s">
        <v>98</v>
      </c>
      <c r="B13" s="17" t="s">
        <v>1537</v>
      </c>
      <c r="C13" s="17" t="s">
        <v>315</v>
      </c>
      <c r="D13" s="17" t="s">
        <v>1538</v>
      </c>
      <c r="E13" s="17" t="s">
        <v>1539</v>
      </c>
      <c r="F13" s="17" t="s">
        <v>1540</v>
      </c>
      <c r="G13" s="17" t="s">
        <v>1541</v>
      </c>
      <c r="H13" s="17" t="s">
        <v>1542</v>
      </c>
      <c r="I13" s="51" t="s">
        <v>4</v>
      </c>
    </row>
    <row r="14" spans="1:10" ht="29" x14ac:dyDescent="0.35">
      <c r="A14" s="17" t="s">
        <v>105</v>
      </c>
      <c r="B14" s="17" t="s">
        <v>1543</v>
      </c>
      <c r="C14" s="17" t="s">
        <v>1387</v>
      </c>
      <c r="D14" s="17" t="s">
        <v>1544</v>
      </c>
      <c r="E14" s="17" t="s">
        <v>1534</v>
      </c>
      <c r="F14" s="17" t="s">
        <v>1545</v>
      </c>
      <c r="G14" s="17" t="s">
        <v>1546</v>
      </c>
      <c r="H14" s="17" t="s">
        <v>1547</v>
      </c>
      <c r="I14" s="51" t="s">
        <v>4</v>
      </c>
    </row>
    <row r="15" spans="1:10" ht="29" x14ac:dyDescent="0.35">
      <c r="A15" s="17" t="s">
        <v>113</v>
      </c>
      <c r="B15" s="17" t="s">
        <v>1548</v>
      </c>
      <c r="C15" s="17" t="s">
        <v>1549</v>
      </c>
      <c r="D15" s="17" t="s">
        <v>1550</v>
      </c>
      <c r="E15" s="17" t="s">
        <v>1551</v>
      </c>
      <c r="F15" s="17" t="s">
        <v>1552</v>
      </c>
      <c r="G15" s="17" t="s">
        <v>1553</v>
      </c>
      <c r="H15" s="17" t="s">
        <v>1554</v>
      </c>
      <c r="I15" s="51" t="s">
        <v>4</v>
      </c>
    </row>
    <row r="16" spans="1:10" ht="29" x14ac:dyDescent="0.35">
      <c r="A16" s="17" t="s">
        <v>119</v>
      </c>
      <c r="B16" s="17" t="s">
        <v>1555</v>
      </c>
      <c r="C16" s="17" t="s">
        <v>1387</v>
      </c>
      <c r="D16" s="17" t="s">
        <v>1556</v>
      </c>
      <c r="E16" s="17" t="s">
        <v>1331</v>
      </c>
      <c r="F16" s="17" t="s">
        <v>1557</v>
      </c>
      <c r="G16" s="17" t="s">
        <v>1558</v>
      </c>
      <c r="H16" s="17" t="s">
        <v>1559</v>
      </c>
      <c r="I16" s="51" t="s">
        <v>4</v>
      </c>
    </row>
    <row r="17" spans="1:9" ht="29" x14ac:dyDescent="0.35">
      <c r="A17" s="17" t="s">
        <v>125</v>
      </c>
      <c r="B17" s="17" t="s">
        <v>1560</v>
      </c>
      <c r="C17" s="17" t="s">
        <v>1387</v>
      </c>
      <c r="D17" s="17" t="s">
        <v>1561</v>
      </c>
      <c r="E17" s="17" t="s">
        <v>1562</v>
      </c>
      <c r="F17" s="17" t="s">
        <v>1563</v>
      </c>
      <c r="G17" s="17" t="s">
        <v>1564</v>
      </c>
      <c r="H17" s="17" t="s">
        <v>1565</v>
      </c>
      <c r="I17" s="51" t="s">
        <v>4</v>
      </c>
    </row>
    <row r="18" spans="1:9" ht="29" x14ac:dyDescent="0.35">
      <c r="A18" s="17" t="s">
        <v>132</v>
      </c>
      <c r="B18" s="17" t="s">
        <v>1566</v>
      </c>
      <c r="C18" s="17" t="s">
        <v>1387</v>
      </c>
      <c r="D18" s="17" t="s">
        <v>1567</v>
      </c>
      <c r="E18" s="17" t="s">
        <v>1568</v>
      </c>
      <c r="F18" s="17" t="s">
        <v>1569</v>
      </c>
      <c r="G18" s="17" t="s">
        <v>1570</v>
      </c>
      <c r="H18" s="17" t="s">
        <v>1571</v>
      </c>
      <c r="I18" s="51" t="s">
        <v>4</v>
      </c>
    </row>
    <row r="19" spans="1:9" ht="29" x14ac:dyDescent="0.35">
      <c r="A19" s="17" t="s">
        <v>138</v>
      </c>
      <c r="B19" s="17" t="s">
        <v>1572</v>
      </c>
      <c r="C19" s="17" t="s">
        <v>1387</v>
      </c>
      <c r="D19" s="17" t="s">
        <v>1573</v>
      </c>
      <c r="E19" s="17" t="s">
        <v>1574</v>
      </c>
      <c r="F19" s="17" t="s">
        <v>1575</v>
      </c>
      <c r="G19" s="17" t="s">
        <v>1576</v>
      </c>
      <c r="H19" s="17" t="s">
        <v>1577</v>
      </c>
      <c r="I19" s="51" t="s">
        <v>4</v>
      </c>
    </row>
    <row r="20" spans="1:9" ht="29" x14ac:dyDescent="0.35">
      <c r="A20" s="17" t="s">
        <v>144</v>
      </c>
      <c r="B20" s="17" t="s">
        <v>1578</v>
      </c>
      <c r="C20" s="17" t="s">
        <v>1579</v>
      </c>
      <c r="D20" s="17" t="s">
        <v>1580</v>
      </c>
      <c r="E20" s="17" t="s">
        <v>1581</v>
      </c>
      <c r="F20" s="17" t="s">
        <v>1582</v>
      </c>
      <c r="G20" s="17" t="s">
        <v>1583</v>
      </c>
      <c r="H20" s="17" t="s">
        <v>1584</v>
      </c>
      <c r="I20" s="51" t="s">
        <v>4</v>
      </c>
    </row>
    <row r="21" spans="1:9" ht="29" x14ac:dyDescent="0.35">
      <c r="A21" s="17" t="s">
        <v>150</v>
      </c>
      <c r="B21" s="17" t="s">
        <v>1585</v>
      </c>
      <c r="C21" s="17" t="s">
        <v>1586</v>
      </c>
      <c r="D21" s="17" t="s">
        <v>1587</v>
      </c>
      <c r="E21" s="17" t="s">
        <v>1588</v>
      </c>
      <c r="F21" s="17" t="s">
        <v>1589</v>
      </c>
      <c r="G21" s="17" t="s">
        <v>1590</v>
      </c>
      <c r="H21" s="17" t="s">
        <v>1591</v>
      </c>
      <c r="I21" s="51" t="s">
        <v>4</v>
      </c>
    </row>
    <row r="22" spans="1:9" x14ac:dyDescent="0.35">
      <c r="A22" s="17"/>
      <c r="B22" s="17"/>
      <c r="C22" s="17"/>
      <c r="D22" s="17"/>
      <c r="E22" s="17"/>
      <c r="F22" s="17"/>
      <c r="G22" s="17"/>
      <c r="H22" s="17"/>
    </row>
    <row r="23" spans="1:9" x14ac:dyDescent="0.35">
      <c r="A23" s="17"/>
      <c r="B23" s="17"/>
      <c r="C23" s="17"/>
      <c r="D23" s="17"/>
      <c r="E23" s="17"/>
      <c r="F23" s="17"/>
      <c r="G23" s="17"/>
      <c r="H23" s="17"/>
    </row>
    <row r="24" spans="1:9" x14ac:dyDescent="0.35">
      <c r="A24" s="17"/>
      <c r="B24" s="17"/>
      <c r="C24" s="17"/>
      <c r="D24" s="17"/>
      <c r="E24" s="17"/>
      <c r="F24" s="17"/>
      <c r="G24" s="17"/>
      <c r="H24" s="17"/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  <row r="26" spans="1:9" x14ac:dyDescent="0.35">
      <c r="A26" s="17"/>
      <c r="B26" s="17"/>
      <c r="C26" s="17"/>
      <c r="D26" s="17"/>
      <c r="E26" s="17"/>
      <c r="F26" s="17"/>
      <c r="G26" s="17"/>
      <c r="H26" s="17"/>
    </row>
    <row r="27" spans="1:9" x14ac:dyDescent="0.35">
      <c r="A27" s="17"/>
      <c r="B27" s="17"/>
      <c r="C27" s="17"/>
      <c r="D27" s="17"/>
      <c r="E27" s="17"/>
      <c r="F27" s="17"/>
      <c r="G27" s="17"/>
      <c r="H27" s="17"/>
    </row>
    <row r="28" spans="1:9" x14ac:dyDescent="0.35">
      <c r="A28" s="17"/>
      <c r="B28" s="17"/>
      <c r="C28" s="17"/>
      <c r="D28" s="17"/>
      <c r="E28" s="17"/>
      <c r="F28" s="17"/>
      <c r="G28" s="17"/>
      <c r="H28" s="17"/>
    </row>
    <row r="29" spans="1:9" x14ac:dyDescent="0.35">
      <c r="A29" s="17"/>
      <c r="B29" s="17"/>
      <c r="C29" s="17"/>
      <c r="D29" s="17"/>
      <c r="E29" s="17"/>
      <c r="F29" s="17"/>
      <c r="G29" s="17"/>
      <c r="H29" s="17"/>
    </row>
    <row r="30" spans="1:9" x14ac:dyDescent="0.35">
      <c r="A30" s="17"/>
      <c r="B30" s="17"/>
      <c r="C30" s="17"/>
      <c r="D30" s="17"/>
      <c r="E30" s="17"/>
      <c r="F30" s="17"/>
      <c r="G30" s="17"/>
      <c r="H30" s="17"/>
    </row>
    <row r="31" spans="1:9" x14ac:dyDescent="0.35">
      <c r="A31" s="17"/>
      <c r="B31" s="17"/>
      <c r="C31" s="17"/>
      <c r="D31" s="17"/>
      <c r="E31" s="17"/>
      <c r="F31" s="17"/>
      <c r="G31" s="17"/>
      <c r="H31" s="17"/>
    </row>
    <row r="32" spans="1:9" x14ac:dyDescent="0.35">
      <c r="A32" s="17"/>
      <c r="B32" s="17"/>
      <c r="C32" s="17"/>
      <c r="D32" s="17"/>
      <c r="E32" s="17"/>
      <c r="F32" s="17"/>
      <c r="G32" s="17"/>
      <c r="H32" s="17"/>
    </row>
    <row r="33" spans="1:8" x14ac:dyDescent="0.35">
      <c r="A33" s="17"/>
      <c r="B33" s="17"/>
      <c r="C33" s="17"/>
      <c r="D33" s="17"/>
      <c r="E33" s="17"/>
      <c r="F33" s="17"/>
      <c r="G33" s="17"/>
      <c r="H33" s="17"/>
    </row>
    <row r="34" spans="1:8" x14ac:dyDescent="0.35">
      <c r="A34" s="17"/>
      <c r="B34" s="17"/>
      <c r="C34" s="17"/>
      <c r="D34" s="17"/>
      <c r="E34" s="17"/>
      <c r="F34" s="17"/>
      <c r="G34" s="17"/>
      <c r="H34" s="17"/>
    </row>
    <row r="35" spans="1:8" x14ac:dyDescent="0.35">
      <c r="A35" s="17"/>
      <c r="B35" s="17"/>
      <c r="C35" s="17"/>
      <c r="D35" s="17"/>
      <c r="E35" s="17"/>
      <c r="F35" s="17"/>
      <c r="G35" s="17"/>
      <c r="H35" s="17"/>
    </row>
    <row r="36" spans="1:8" x14ac:dyDescent="0.35">
      <c r="A36" s="17"/>
      <c r="B36" s="17"/>
      <c r="C36" s="17"/>
      <c r="D36" s="17"/>
      <c r="E36" s="17"/>
      <c r="F36" s="17"/>
      <c r="G36" s="17"/>
      <c r="H36" s="17"/>
    </row>
    <row r="37" spans="1:8" x14ac:dyDescent="0.35">
      <c r="A37" s="17"/>
      <c r="B37" s="17"/>
      <c r="C37" s="17"/>
      <c r="D37" s="17"/>
      <c r="E37" s="17"/>
      <c r="F37" s="17"/>
      <c r="G37" s="17"/>
      <c r="H37" s="17"/>
    </row>
    <row r="38" spans="1:8" x14ac:dyDescent="0.35">
      <c r="A38" s="17"/>
      <c r="B38" s="17"/>
      <c r="C38" s="17"/>
      <c r="D38" s="17"/>
      <c r="E38" s="17"/>
      <c r="F38" s="17"/>
      <c r="G38" s="17"/>
      <c r="H38" s="17"/>
    </row>
    <row r="39" spans="1:8" x14ac:dyDescent="0.35">
      <c r="A39" s="17"/>
      <c r="B39" s="17"/>
      <c r="C39" s="17"/>
      <c r="D39" s="17"/>
      <c r="E39" s="17"/>
      <c r="F39" s="17"/>
      <c r="G39" s="17"/>
      <c r="H39" s="17"/>
    </row>
    <row r="40" spans="1:8" x14ac:dyDescent="0.35">
      <c r="A40" s="17"/>
      <c r="B40" s="17"/>
      <c r="C40" s="17"/>
      <c r="D40" s="17"/>
      <c r="E40" s="17"/>
      <c r="F40" s="17"/>
      <c r="G40" s="17"/>
      <c r="H40" s="17"/>
    </row>
    <row r="41" spans="1:8" x14ac:dyDescent="0.35">
      <c r="A41" s="17"/>
      <c r="B41" s="17"/>
      <c r="C41" s="17"/>
      <c r="D41" s="17"/>
      <c r="E41" s="17"/>
      <c r="F41" s="17"/>
      <c r="G41" s="17"/>
      <c r="H41" s="17"/>
    </row>
    <row r="42" spans="1:8" x14ac:dyDescent="0.35">
      <c r="A42" s="17"/>
      <c r="B42" s="17"/>
      <c r="C42" s="17"/>
      <c r="D42" s="17"/>
      <c r="E42" s="17"/>
      <c r="F42" s="17"/>
      <c r="G42" s="17"/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x14ac:dyDescent="0.35">
      <c r="A44" s="17"/>
      <c r="B44" s="17"/>
      <c r="C44" s="17"/>
      <c r="D44" s="17"/>
      <c r="E44" s="17"/>
      <c r="F44" s="17"/>
      <c r="G44" s="17"/>
      <c r="H44" s="17"/>
    </row>
    <row r="45" spans="1:8" x14ac:dyDescent="0.35">
      <c r="A45" s="17"/>
      <c r="B45" s="17"/>
      <c r="C45" s="17"/>
      <c r="D45" s="17"/>
      <c r="E45" s="17"/>
      <c r="F45" s="17"/>
      <c r="G45" s="17"/>
      <c r="H45" s="17"/>
    </row>
    <row r="46" spans="1:8" x14ac:dyDescent="0.35">
      <c r="A46" s="17"/>
      <c r="B46" s="17"/>
      <c r="C46" s="17"/>
      <c r="D46" s="17"/>
      <c r="E46" s="17"/>
      <c r="F46" s="17"/>
      <c r="G46" s="17"/>
      <c r="H46" s="17"/>
    </row>
    <row r="47" spans="1:8" x14ac:dyDescent="0.35">
      <c r="A47" s="17"/>
      <c r="B47" s="17"/>
      <c r="C47" s="17"/>
      <c r="D47" s="17"/>
      <c r="E47" s="17"/>
      <c r="F47" s="17"/>
      <c r="G47" s="17"/>
      <c r="H47" s="17"/>
    </row>
    <row r="48" spans="1:8" x14ac:dyDescent="0.35">
      <c r="A48" s="17"/>
      <c r="B48" s="17"/>
      <c r="C48" s="17"/>
      <c r="D48" s="17"/>
      <c r="E48" s="17"/>
      <c r="F48" s="17"/>
      <c r="G48" s="17"/>
      <c r="H48" s="17"/>
    </row>
    <row r="49" spans="1:8" x14ac:dyDescent="0.35">
      <c r="A49" s="17"/>
      <c r="B49" s="17"/>
      <c r="C49" s="17"/>
      <c r="D49" s="17"/>
      <c r="E49" s="17"/>
      <c r="F49" s="17"/>
      <c r="G49" s="17"/>
      <c r="H49" s="17"/>
    </row>
    <row r="50" spans="1:8" x14ac:dyDescent="0.35">
      <c r="A50" s="17"/>
      <c r="B50" s="17"/>
      <c r="C50" s="17"/>
      <c r="D50" s="17"/>
      <c r="E50" s="17"/>
      <c r="F50" s="17"/>
      <c r="G50" s="17"/>
      <c r="H50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99" priority="6" operator="containsText" text="Passed">
      <formula>NOT(ISERROR(SEARCH(("Passed"),(G1))))</formula>
    </cfRule>
    <cfRule type="containsText" dxfId="198" priority="7" operator="containsText" text="Failed">
      <formula>NOT(ISERROR(SEARCH(("Failed"),(G1))))</formula>
    </cfRule>
    <cfRule type="containsText" dxfId="197" priority="8" operator="containsText" text="Incomplete">
      <formula>NOT(ISERROR(SEARCH(("Incomplete"),(G1))))</formula>
    </cfRule>
  </conditionalFormatting>
  <conditionalFormatting sqref="I6:I21">
    <cfRule type="containsText" dxfId="196" priority="1" operator="containsText" text="Passed">
      <formula>NOT(ISERROR(SEARCH(("Passed"),(I6))))</formula>
    </cfRule>
    <cfRule type="containsText" dxfId="195" priority="2" operator="containsText" text="Failed">
      <formula>NOT(ISERROR(SEARCH(("Failed"),(I6))))</formula>
    </cfRule>
    <cfRule type="containsText" dxfId="194" priority="3" operator="containsText" text="Bug ok">
      <formula>NOT(ISERROR(SEARCH(("Bug ok"),(I6))))</formula>
    </cfRule>
    <cfRule type="containsText" dxfId="193" priority="4" operator="containsText" text="Blocked">
      <formula>NOT(ISERROR(SEARCH(("Blocked"),(I6))))</formula>
    </cfRule>
    <cfRule type="containsText" dxfId="192" priority="5" operator="containsText" text="Cannot run">
      <formula>NOT(ISERROR(SEARCH(("Cannot run"),(J6))))</formula>
    </cfRule>
  </conditionalFormatting>
  <dataValidations count="1">
    <dataValidation type="list" allowBlank="1" showErrorMessage="1" sqref="I6:I21" xr:uid="{A8235AA2-182E-41CD-B97E-883D547ABAA0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583D-E59D-4CF8-B0EE-E498291226C0}">
  <dimension ref="A1:J37"/>
  <sheetViews>
    <sheetView workbookViewId="0">
      <selection activeCell="A27" sqref="A27"/>
    </sheetView>
  </sheetViews>
  <sheetFormatPr defaultRowHeight="14.5" x14ac:dyDescent="0.35"/>
  <cols>
    <col min="1" max="1" width="38.453125" customWidth="1"/>
    <col min="2" max="7" width="27.26953125" customWidth="1"/>
    <col min="8" max="8" width="40" customWidth="1"/>
    <col min="9" max="10" width="27.26953125" customWidth="1"/>
  </cols>
  <sheetData>
    <row r="1" spans="1:10" ht="15.5" x14ac:dyDescent="0.35">
      <c r="A1" s="76"/>
      <c r="B1" s="85" t="s">
        <v>2</v>
      </c>
      <c r="C1" s="78"/>
      <c r="D1" s="86" t="s">
        <v>1592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COUNTIF(A6:A47,"TC-??")</f>
        <v>22</v>
      </c>
      <c r="H2" s="14">
        <f>COUNTIF(I4:I904,"Đạt")</f>
        <v>22</v>
      </c>
      <c r="I2" s="6">
        <f>COUNTIF(G4:G904,"Không Đạt")</f>
        <v>0</v>
      </c>
      <c r="J2" s="6">
        <f>COUNTIF(G4:G904,"Chưa Xong")</f>
        <v>0</v>
      </c>
    </row>
    <row r="3" spans="1:10" ht="18" x14ac:dyDescent="0.35">
      <c r="A3" s="76"/>
      <c r="B3" s="85" t="s">
        <v>55</v>
      </c>
      <c r="C3" s="78"/>
      <c r="D3" s="88">
        <v>46002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32" t="s">
        <v>65</v>
      </c>
      <c r="B6" s="32" t="s">
        <v>1593</v>
      </c>
      <c r="C6" s="32" t="s">
        <v>1280</v>
      </c>
      <c r="D6" s="32" t="s">
        <v>1594</v>
      </c>
      <c r="E6" s="32" t="s">
        <v>1595</v>
      </c>
      <c r="F6" s="32" t="s">
        <v>1596</v>
      </c>
      <c r="G6" s="32" t="s">
        <v>1597</v>
      </c>
      <c r="H6" s="32" t="s">
        <v>1598</v>
      </c>
      <c r="I6" s="31" t="s">
        <v>4</v>
      </c>
    </row>
    <row r="7" spans="1:10" ht="29" x14ac:dyDescent="0.35">
      <c r="A7" s="32" t="s">
        <v>72</v>
      </c>
      <c r="B7" s="32" t="s">
        <v>1599</v>
      </c>
      <c r="C7" s="32" t="s">
        <v>1280</v>
      </c>
      <c r="D7" s="32" t="s">
        <v>1600</v>
      </c>
      <c r="E7" s="32" t="s">
        <v>1601</v>
      </c>
      <c r="F7" s="32" t="s">
        <v>1602</v>
      </c>
      <c r="G7" s="32" t="s">
        <v>1603</v>
      </c>
      <c r="H7" s="32" t="s">
        <v>1604</v>
      </c>
      <c r="I7" s="31" t="s">
        <v>4</v>
      </c>
    </row>
    <row r="8" spans="1:10" ht="43.5" x14ac:dyDescent="0.35">
      <c r="A8" s="32" t="s">
        <v>77</v>
      </c>
      <c r="B8" s="32" t="s">
        <v>1605</v>
      </c>
      <c r="C8" s="32" t="s">
        <v>1280</v>
      </c>
      <c r="D8" s="32" t="s">
        <v>1606</v>
      </c>
      <c r="E8" s="32" t="s">
        <v>1607</v>
      </c>
      <c r="F8" s="32" t="s">
        <v>1608</v>
      </c>
      <c r="G8" s="32" t="s">
        <v>1609</v>
      </c>
      <c r="H8" s="32" t="s">
        <v>1610</v>
      </c>
      <c r="I8" s="31" t="s">
        <v>4</v>
      </c>
    </row>
    <row r="9" spans="1:10" ht="29" x14ac:dyDescent="0.35">
      <c r="A9" s="32" t="s">
        <v>83</v>
      </c>
      <c r="B9" s="32" t="s">
        <v>1611</v>
      </c>
      <c r="C9" s="32" t="s">
        <v>1280</v>
      </c>
      <c r="D9" s="32" t="s">
        <v>1612</v>
      </c>
      <c r="E9" s="32" t="s">
        <v>1613</v>
      </c>
      <c r="F9" s="32" t="s">
        <v>1614</v>
      </c>
      <c r="G9" s="32" t="s">
        <v>1615</v>
      </c>
      <c r="H9" s="32" t="s">
        <v>1616</v>
      </c>
      <c r="I9" s="31" t="s">
        <v>4</v>
      </c>
    </row>
    <row r="10" spans="1:10" ht="29" x14ac:dyDescent="0.35">
      <c r="A10" s="32" t="s">
        <v>88</v>
      </c>
      <c r="B10" s="32" t="s">
        <v>1617</v>
      </c>
      <c r="C10" s="32" t="s">
        <v>252</v>
      </c>
      <c r="D10" s="32" t="s">
        <v>1618</v>
      </c>
      <c r="E10" s="32" t="s">
        <v>1619</v>
      </c>
      <c r="F10" s="32" t="s">
        <v>1620</v>
      </c>
      <c r="G10" s="32" t="s">
        <v>1621</v>
      </c>
      <c r="H10" s="32" t="s">
        <v>1622</v>
      </c>
      <c r="I10" s="31" t="s">
        <v>4</v>
      </c>
    </row>
    <row r="11" spans="1:10" ht="29" x14ac:dyDescent="0.35">
      <c r="A11" s="32" t="s">
        <v>233</v>
      </c>
      <c r="B11" s="32" t="s">
        <v>1623</v>
      </c>
      <c r="C11" s="32" t="s">
        <v>252</v>
      </c>
      <c r="D11" s="32" t="s">
        <v>1618</v>
      </c>
      <c r="E11" s="32" t="s">
        <v>1624</v>
      </c>
      <c r="F11" s="32" t="s">
        <v>1625</v>
      </c>
      <c r="G11" s="32" t="s">
        <v>1626</v>
      </c>
      <c r="H11" s="32" t="s">
        <v>1627</v>
      </c>
      <c r="I11" s="31" t="s">
        <v>4</v>
      </c>
    </row>
    <row r="12" spans="1:10" ht="29" x14ac:dyDescent="0.35">
      <c r="A12" s="32" t="s">
        <v>93</v>
      </c>
      <c r="B12" s="32" t="s">
        <v>1628</v>
      </c>
      <c r="C12" s="32" t="s">
        <v>1629</v>
      </c>
      <c r="D12" s="32" t="s">
        <v>1630</v>
      </c>
      <c r="E12" s="32" t="s">
        <v>1631</v>
      </c>
      <c r="F12" s="32" t="s">
        <v>1632</v>
      </c>
      <c r="G12" s="32" t="s">
        <v>1633</v>
      </c>
      <c r="H12" s="32" t="s">
        <v>1634</v>
      </c>
      <c r="I12" s="51" t="s">
        <v>4</v>
      </c>
    </row>
    <row r="13" spans="1:10" ht="29" x14ac:dyDescent="0.35">
      <c r="A13" s="32" t="s">
        <v>98</v>
      </c>
      <c r="B13" s="32" t="s">
        <v>1635</v>
      </c>
      <c r="C13" s="32" t="s">
        <v>1629</v>
      </c>
      <c r="D13" s="32" t="s">
        <v>1636</v>
      </c>
      <c r="E13" s="32" t="s">
        <v>1637</v>
      </c>
      <c r="F13" s="32" t="s">
        <v>1638</v>
      </c>
      <c r="G13" s="32" t="s">
        <v>1639</v>
      </c>
      <c r="H13" s="32" t="s">
        <v>1640</v>
      </c>
      <c r="I13" s="31" t="s">
        <v>4</v>
      </c>
    </row>
    <row r="14" spans="1:10" ht="29" x14ac:dyDescent="0.35">
      <c r="A14" s="32" t="s">
        <v>105</v>
      </c>
      <c r="B14" s="32" t="s">
        <v>1641</v>
      </c>
      <c r="C14" s="32" t="s">
        <v>1629</v>
      </c>
      <c r="D14" s="32" t="s">
        <v>1642</v>
      </c>
      <c r="E14" s="32" t="s">
        <v>1637</v>
      </c>
      <c r="F14" s="32" t="s">
        <v>1643</v>
      </c>
      <c r="G14" s="32" t="s">
        <v>1644</v>
      </c>
      <c r="H14" s="32" t="s">
        <v>1645</v>
      </c>
      <c r="I14" s="31" t="s">
        <v>4</v>
      </c>
    </row>
    <row r="15" spans="1:10" ht="29" x14ac:dyDescent="0.35">
      <c r="A15" s="32" t="s">
        <v>113</v>
      </c>
      <c r="B15" s="32" t="s">
        <v>1646</v>
      </c>
      <c r="C15" s="32" t="s">
        <v>1629</v>
      </c>
      <c r="D15" s="32" t="s">
        <v>1647</v>
      </c>
      <c r="E15" s="32" t="s">
        <v>1637</v>
      </c>
      <c r="F15" s="32" t="s">
        <v>1648</v>
      </c>
      <c r="G15" s="32" t="s">
        <v>1649</v>
      </c>
      <c r="H15" s="32" t="s">
        <v>1650</v>
      </c>
      <c r="I15" s="31" t="s">
        <v>4</v>
      </c>
    </row>
    <row r="16" spans="1:10" ht="29" x14ac:dyDescent="0.35">
      <c r="A16" s="32" t="s">
        <v>119</v>
      </c>
      <c r="B16" s="32" t="s">
        <v>1651</v>
      </c>
      <c r="C16" s="32" t="s">
        <v>1629</v>
      </c>
      <c r="D16" s="32" t="s">
        <v>1652</v>
      </c>
      <c r="E16" s="32" t="s">
        <v>1653</v>
      </c>
      <c r="F16" s="32" t="s">
        <v>1654</v>
      </c>
      <c r="G16" s="32" t="s">
        <v>1655</v>
      </c>
      <c r="H16" s="32" t="s">
        <v>1656</v>
      </c>
      <c r="I16" s="31" t="s">
        <v>4</v>
      </c>
    </row>
    <row r="17" spans="1:9" ht="29" x14ac:dyDescent="0.35">
      <c r="A17" s="32" t="s">
        <v>125</v>
      </c>
      <c r="B17" s="32" t="s">
        <v>1657</v>
      </c>
      <c r="C17" s="32" t="s">
        <v>252</v>
      </c>
      <c r="D17" s="32" t="s">
        <v>1658</v>
      </c>
      <c r="E17" s="32" t="s">
        <v>1659</v>
      </c>
      <c r="F17" s="32" t="s">
        <v>468</v>
      </c>
      <c r="G17" s="32" t="s">
        <v>1660</v>
      </c>
      <c r="H17" s="32" t="s">
        <v>1661</v>
      </c>
      <c r="I17" s="31" t="s">
        <v>4</v>
      </c>
    </row>
    <row r="18" spans="1:9" ht="29" x14ac:dyDescent="0.35">
      <c r="A18" s="32" t="s">
        <v>132</v>
      </c>
      <c r="B18" s="32" t="s">
        <v>1662</v>
      </c>
      <c r="C18" s="32" t="s">
        <v>1663</v>
      </c>
      <c r="D18" s="32" t="s">
        <v>1664</v>
      </c>
      <c r="E18" s="32" t="s">
        <v>1665</v>
      </c>
      <c r="F18" s="32" t="s">
        <v>1666</v>
      </c>
      <c r="G18" s="32" t="s">
        <v>1667</v>
      </c>
      <c r="H18" s="32" t="s">
        <v>1627</v>
      </c>
      <c r="I18" s="31" t="s">
        <v>4</v>
      </c>
    </row>
    <row r="19" spans="1:9" ht="29" x14ac:dyDescent="0.35">
      <c r="A19" s="32" t="s">
        <v>138</v>
      </c>
      <c r="B19" s="32" t="s">
        <v>1668</v>
      </c>
      <c r="C19" s="32" t="s">
        <v>1629</v>
      </c>
      <c r="D19" s="32" t="s">
        <v>1398</v>
      </c>
      <c r="E19" s="32" t="s">
        <v>1637</v>
      </c>
      <c r="F19" s="32" t="s">
        <v>1669</v>
      </c>
      <c r="G19" s="32" t="s">
        <v>1670</v>
      </c>
      <c r="H19" s="32" t="s">
        <v>1671</v>
      </c>
      <c r="I19" s="51" t="s">
        <v>4</v>
      </c>
    </row>
    <row r="20" spans="1:9" ht="29" x14ac:dyDescent="0.35">
      <c r="A20" s="32" t="s">
        <v>144</v>
      </c>
      <c r="B20" s="32" t="s">
        <v>1672</v>
      </c>
      <c r="C20" s="32" t="s">
        <v>252</v>
      </c>
      <c r="D20" s="32" t="s">
        <v>1673</v>
      </c>
      <c r="E20" s="32" t="s">
        <v>1674</v>
      </c>
      <c r="F20" s="32" t="s">
        <v>468</v>
      </c>
      <c r="G20" s="32" t="s">
        <v>1675</v>
      </c>
      <c r="H20" s="32" t="s">
        <v>1661</v>
      </c>
      <c r="I20" s="31" t="s">
        <v>4</v>
      </c>
    </row>
    <row r="21" spans="1:9" ht="29" x14ac:dyDescent="0.35">
      <c r="A21" s="32" t="s">
        <v>150</v>
      </c>
      <c r="B21" s="32" t="s">
        <v>1676</v>
      </c>
      <c r="C21" s="32" t="s">
        <v>252</v>
      </c>
      <c r="D21" s="32" t="s">
        <v>1673</v>
      </c>
      <c r="E21" s="32" t="s">
        <v>1677</v>
      </c>
      <c r="F21" s="32" t="s">
        <v>468</v>
      </c>
      <c r="G21" s="32" t="s">
        <v>1678</v>
      </c>
      <c r="H21" s="32" t="s">
        <v>1661</v>
      </c>
      <c r="I21" s="31" t="s">
        <v>4</v>
      </c>
    </row>
    <row r="22" spans="1:9" ht="29" x14ac:dyDescent="0.35">
      <c r="A22" s="32" t="s">
        <v>157</v>
      </c>
      <c r="B22" s="32" t="s">
        <v>1679</v>
      </c>
      <c r="C22" s="32" t="s">
        <v>1629</v>
      </c>
      <c r="D22" s="32" t="s">
        <v>1680</v>
      </c>
      <c r="E22" s="32" t="s">
        <v>1681</v>
      </c>
      <c r="F22" s="32" t="s">
        <v>1682</v>
      </c>
      <c r="G22" s="32" t="s">
        <v>1462</v>
      </c>
      <c r="H22" s="32" t="s">
        <v>1683</v>
      </c>
      <c r="I22" s="31" t="s">
        <v>4</v>
      </c>
    </row>
    <row r="23" spans="1:9" ht="29" x14ac:dyDescent="0.35">
      <c r="A23" s="32" t="s">
        <v>163</v>
      </c>
      <c r="B23" s="32" t="s">
        <v>1684</v>
      </c>
      <c r="C23" s="32" t="s">
        <v>252</v>
      </c>
      <c r="D23" s="32" t="s">
        <v>1685</v>
      </c>
      <c r="E23" s="32" t="s">
        <v>1686</v>
      </c>
      <c r="F23" s="32" t="s">
        <v>1687</v>
      </c>
      <c r="G23" s="32" t="s">
        <v>1688</v>
      </c>
      <c r="H23" s="32" t="s">
        <v>1661</v>
      </c>
      <c r="I23" s="31" t="s">
        <v>4</v>
      </c>
    </row>
    <row r="24" spans="1:9" ht="29" x14ac:dyDescent="0.35">
      <c r="A24" s="32" t="s">
        <v>299</v>
      </c>
      <c r="B24" s="32" t="s">
        <v>1689</v>
      </c>
      <c r="C24" s="32" t="s">
        <v>315</v>
      </c>
      <c r="D24" s="32" t="s">
        <v>314</v>
      </c>
      <c r="E24" s="32" t="s">
        <v>1690</v>
      </c>
      <c r="F24" s="32" t="s">
        <v>1327</v>
      </c>
      <c r="G24" s="32" t="s">
        <v>363</v>
      </c>
      <c r="H24" s="32" t="s">
        <v>1691</v>
      </c>
      <c r="I24" s="31" t="s">
        <v>4</v>
      </c>
    </row>
    <row r="25" spans="1:9" ht="29" x14ac:dyDescent="0.35">
      <c r="A25" s="32" t="s">
        <v>306</v>
      </c>
      <c r="B25" s="32" t="s">
        <v>1692</v>
      </c>
      <c r="C25" s="32" t="s">
        <v>315</v>
      </c>
      <c r="D25" s="32" t="s">
        <v>1330</v>
      </c>
      <c r="E25" s="32" t="s">
        <v>1331</v>
      </c>
      <c r="F25" s="32" t="s">
        <v>1275</v>
      </c>
      <c r="G25" s="32" t="s">
        <v>1488</v>
      </c>
      <c r="H25" s="32" t="s">
        <v>1693</v>
      </c>
      <c r="I25" s="31" t="s">
        <v>4</v>
      </c>
    </row>
    <row r="26" spans="1:9" ht="29" x14ac:dyDescent="0.35">
      <c r="A26" s="32" t="s">
        <v>312</v>
      </c>
      <c r="B26" s="32" t="s">
        <v>1694</v>
      </c>
      <c r="C26" s="32" t="s">
        <v>1695</v>
      </c>
      <c r="D26" s="32" t="s">
        <v>1696</v>
      </c>
      <c r="E26" s="32" t="s">
        <v>1697</v>
      </c>
      <c r="F26" s="32" t="s">
        <v>468</v>
      </c>
      <c r="G26" s="32" t="s">
        <v>1698</v>
      </c>
      <c r="H26" s="32" t="s">
        <v>1699</v>
      </c>
      <c r="I26" s="31" t="s">
        <v>4</v>
      </c>
    </row>
    <row r="27" spans="1:9" ht="29" x14ac:dyDescent="0.35">
      <c r="A27" s="32" t="s">
        <v>465</v>
      </c>
      <c r="B27" s="32" t="s">
        <v>1700</v>
      </c>
      <c r="C27" s="32" t="s">
        <v>1586</v>
      </c>
      <c r="D27" s="32" t="s">
        <v>1701</v>
      </c>
      <c r="E27" s="32" t="s">
        <v>1702</v>
      </c>
      <c r="F27" s="32" t="s">
        <v>1703</v>
      </c>
      <c r="G27" s="32" t="s">
        <v>1704</v>
      </c>
      <c r="H27" s="32" t="s">
        <v>1705</v>
      </c>
      <c r="I27" s="31" t="s">
        <v>4</v>
      </c>
    </row>
    <row r="28" spans="1:9" x14ac:dyDescent="0.35">
      <c r="A28" s="32"/>
      <c r="B28" s="32"/>
      <c r="C28" s="32"/>
      <c r="D28" s="32"/>
      <c r="E28" s="32"/>
      <c r="F28" s="32"/>
      <c r="G28" s="32"/>
      <c r="H28" s="32"/>
      <c r="I28" s="31"/>
    </row>
    <row r="29" spans="1:9" x14ac:dyDescent="0.35">
      <c r="A29" s="32"/>
      <c r="B29" s="32"/>
      <c r="C29" s="32"/>
      <c r="D29" s="32"/>
      <c r="E29" s="32"/>
      <c r="F29" s="32"/>
      <c r="G29" s="32"/>
      <c r="H29" s="32"/>
      <c r="I29" s="31"/>
    </row>
    <row r="30" spans="1:9" x14ac:dyDescent="0.35">
      <c r="A30" s="32"/>
      <c r="B30" s="32"/>
      <c r="C30" s="32"/>
      <c r="D30" s="32"/>
      <c r="E30" s="32"/>
      <c r="F30" s="32"/>
      <c r="G30" s="32"/>
      <c r="H30" s="32"/>
      <c r="I30" s="31"/>
    </row>
    <row r="31" spans="1:9" x14ac:dyDescent="0.35">
      <c r="A31" s="32"/>
      <c r="B31" s="32"/>
      <c r="C31" s="32"/>
      <c r="D31" s="32"/>
      <c r="E31" s="32"/>
      <c r="F31" s="32"/>
      <c r="G31" s="32"/>
      <c r="H31" s="32"/>
      <c r="I31" s="31"/>
    </row>
    <row r="32" spans="1:9" x14ac:dyDescent="0.35">
      <c r="A32" s="32"/>
      <c r="B32" s="32"/>
      <c r="C32" s="32"/>
      <c r="D32" s="32"/>
      <c r="E32" s="32"/>
      <c r="F32" s="32"/>
      <c r="G32" s="32"/>
      <c r="H32" s="32"/>
      <c r="I32" s="31"/>
    </row>
    <row r="33" spans="1:9" x14ac:dyDescent="0.35">
      <c r="A33" s="32"/>
      <c r="B33" s="32"/>
      <c r="C33" s="32"/>
      <c r="D33" s="32"/>
      <c r="E33" s="32"/>
      <c r="F33" s="32"/>
      <c r="G33" s="39"/>
      <c r="H33" s="32"/>
      <c r="I33" s="31"/>
    </row>
    <row r="34" spans="1:9" x14ac:dyDescent="0.35">
      <c r="A34" s="32"/>
      <c r="B34" s="32"/>
      <c r="C34" s="32"/>
      <c r="D34" s="32"/>
      <c r="E34" s="32"/>
      <c r="F34" s="32"/>
      <c r="G34" s="39"/>
      <c r="H34" s="32"/>
      <c r="I34" s="31"/>
    </row>
    <row r="35" spans="1:9" x14ac:dyDescent="0.35">
      <c r="A35" s="32"/>
      <c r="B35" s="32"/>
      <c r="C35" s="32"/>
      <c r="D35" s="32"/>
      <c r="E35" s="32"/>
      <c r="F35" s="32"/>
      <c r="G35" s="39"/>
      <c r="H35" s="39"/>
      <c r="I35" s="31"/>
    </row>
    <row r="36" spans="1:9" x14ac:dyDescent="0.35">
      <c r="A36" s="32"/>
      <c r="B36" s="32"/>
      <c r="C36" s="32"/>
      <c r="D36" s="32"/>
      <c r="E36" s="32"/>
      <c r="F36" s="32"/>
      <c r="G36" s="39"/>
      <c r="H36" s="39"/>
      <c r="I36" s="31"/>
    </row>
    <row r="37" spans="1:9" x14ac:dyDescent="0.35">
      <c r="A37" s="32"/>
      <c r="B37" s="32"/>
      <c r="C37" s="32"/>
      <c r="D37" s="32"/>
      <c r="E37" s="32"/>
      <c r="F37" s="32"/>
      <c r="G37" s="39"/>
      <c r="H37" s="32"/>
      <c r="I37" s="31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91" priority="16" operator="containsText" text="Passed">
      <formula>NOT(ISERROR(SEARCH(("Passed"),(G1))))</formula>
    </cfRule>
    <cfRule type="containsText" dxfId="190" priority="17" operator="containsText" text="Failed">
      <formula>NOT(ISERROR(SEARCH(("Failed"),(G1))))</formula>
    </cfRule>
    <cfRule type="containsText" dxfId="189" priority="18" operator="containsText" text="Incomplete">
      <formula>NOT(ISERROR(SEARCH(("Incomplete"),(G1))))</formula>
    </cfRule>
  </conditionalFormatting>
  <conditionalFormatting sqref="I6:I37">
    <cfRule type="containsText" dxfId="188" priority="11" operator="containsText" text="Passed">
      <formula>NOT(ISERROR(SEARCH(("Passed"),(I6))))</formula>
    </cfRule>
    <cfRule type="containsText" dxfId="187" priority="12" operator="containsText" text="Failed">
      <formula>NOT(ISERROR(SEARCH(("Failed"),(I6))))</formula>
    </cfRule>
    <cfRule type="containsText" dxfId="186" priority="13" operator="containsText" text="Bug ok">
      <formula>NOT(ISERROR(SEARCH(("Bug ok"),(I6))))</formula>
    </cfRule>
    <cfRule type="containsText" dxfId="185" priority="14" operator="containsText" text="Blocked">
      <formula>NOT(ISERROR(SEARCH(("Blocked"),(I6))))</formula>
    </cfRule>
    <cfRule type="containsText" dxfId="184" priority="15" operator="containsText" text="Cannot run">
      <formula>NOT(ISERROR(SEARCH(("Cannot run"),(J6))))</formula>
    </cfRule>
  </conditionalFormatting>
  <dataValidations count="1">
    <dataValidation type="list" allowBlank="1" showErrorMessage="1" sqref="I6:I37" xr:uid="{CD50B03D-EB98-4C54-A377-BFFC1B2E91CA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861D-6699-45CA-B78E-AF6B03F0CA56}">
  <dimension ref="A1:J24"/>
  <sheetViews>
    <sheetView workbookViewId="0">
      <selection activeCell="G11" sqref="G11"/>
    </sheetView>
  </sheetViews>
  <sheetFormatPr defaultRowHeight="14.5" x14ac:dyDescent="0.35"/>
  <cols>
    <col min="1" max="1" width="38.453125" customWidth="1"/>
    <col min="2" max="7" width="27.453125" customWidth="1"/>
    <col min="8" max="8" width="39.81640625" customWidth="1"/>
    <col min="9" max="10" width="27.453125" customWidth="1"/>
  </cols>
  <sheetData>
    <row r="1" spans="1:10" ht="15.5" x14ac:dyDescent="0.35">
      <c r="A1" s="76"/>
      <c r="B1" s="85" t="s">
        <v>2</v>
      </c>
      <c r="C1" s="78"/>
      <c r="D1" s="86" t="s">
        <v>1706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COUNTIF(A1:A200,"TC-??")</f>
        <v>19</v>
      </c>
      <c r="H2" s="14">
        <f>COUNTIF(I4:I844,"Đạt")</f>
        <v>19</v>
      </c>
      <c r="I2" s="6">
        <f>COUNTIF(G4:G877,"Không Đạt")</f>
        <v>0</v>
      </c>
      <c r="J2" s="6">
        <f>COUNTIF(G4:G877,"Chưa Xong")</f>
        <v>0</v>
      </c>
    </row>
    <row r="3" spans="1:10" ht="18" x14ac:dyDescent="0.35">
      <c r="A3" s="76"/>
      <c r="B3" s="85" t="s">
        <v>55</v>
      </c>
      <c r="C3" s="78"/>
      <c r="D3" s="88">
        <v>46002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1707</v>
      </c>
      <c r="C6" s="17" t="s">
        <v>1708</v>
      </c>
      <c r="D6" s="17" t="s">
        <v>1709</v>
      </c>
      <c r="E6" s="17" t="s">
        <v>1710</v>
      </c>
      <c r="F6" s="17" t="s">
        <v>1711</v>
      </c>
      <c r="G6" s="17" t="s">
        <v>1712</v>
      </c>
      <c r="H6" s="17" t="s">
        <v>1713</v>
      </c>
      <c r="I6" s="31" t="s">
        <v>4</v>
      </c>
    </row>
    <row r="7" spans="1:10" ht="29" x14ac:dyDescent="0.35">
      <c r="A7" s="17" t="s">
        <v>72</v>
      </c>
      <c r="B7" s="17" t="s">
        <v>1714</v>
      </c>
      <c r="C7" s="17" t="s">
        <v>1708</v>
      </c>
      <c r="D7" s="17" t="s">
        <v>1715</v>
      </c>
      <c r="E7" s="17" t="s">
        <v>1716</v>
      </c>
      <c r="F7" s="17" t="s">
        <v>1717</v>
      </c>
      <c r="G7" s="17" t="s">
        <v>1718</v>
      </c>
      <c r="H7" s="17" t="s">
        <v>1719</v>
      </c>
      <c r="I7" s="31" t="s">
        <v>4</v>
      </c>
    </row>
    <row r="8" spans="1:10" ht="43.5" x14ac:dyDescent="0.35">
      <c r="A8" s="17" t="s">
        <v>77</v>
      </c>
      <c r="B8" s="17" t="s">
        <v>1720</v>
      </c>
      <c r="C8" s="17" t="s">
        <v>1708</v>
      </c>
      <c r="D8" s="17" t="s">
        <v>1721</v>
      </c>
      <c r="E8" s="17" t="s">
        <v>1722</v>
      </c>
      <c r="F8" s="17" t="s">
        <v>1723</v>
      </c>
      <c r="G8" s="17" t="s">
        <v>1724</v>
      </c>
      <c r="H8" s="17" t="s">
        <v>1725</v>
      </c>
      <c r="I8" s="31" t="s">
        <v>4</v>
      </c>
    </row>
    <row r="9" spans="1:10" ht="29" x14ac:dyDescent="0.35">
      <c r="A9" s="17" t="s">
        <v>83</v>
      </c>
      <c r="B9" s="17" t="s">
        <v>1726</v>
      </c>
      <c r="C9" s="17" t="s">
        <v>1708</v>
      </c>
      <c r="D9" s="17" t="s">
        <v>1721</v>
      </c>
      <c r="E9" s="17" t="s">
        <v>1727</v>
      </c>
      <c r="F9" s="17" t="s">
        <v>1728</v>
      </c>
      <c r="G9" s="17" t="s">
        <v>1729</v>
      </c>
      <c r="H9" s="17" t="s">
        <v>1730</v>
      </c>
      <c r="I9" s="31" t="s">
        <v>4</v>
      </c>
    </row>
    <row r="10" spans="1:10" ht="43.5" x14ac:dyDescent="0.35">
      <c r="A10" s="17" t="s">
        <v>88</v>
      </c>
      <c r="B10" s="17" t="s">
        <v>1731</v>
      </c>
      <c r="C10" s="17" t="s">
        <v>1708</v>
      </c>
      <c r="D10" s="17" t="s">
        <v>1732</v>
      </c>
      <c r="E10" s="17" t="s">
        <v>1733</v>
      </c>
      <c r="F10" s="17" t="s">
        <v>1734</v>
      </c>
      <c r="G10" s="17" t="s">
        <v>1735</v>
      </c>
      <c r="H10" s="17" t="s">
        <v>1736</v>
      </c>
      <c r="I10" s="31" t="s">
        <v>4</v>
      </c>
    </row>
    <row r="11" spans="1:10" ht="29" x14ac:dyDescent="0.35">
      <c r="A11" s="17" t="s">
        <v>233</v>
      </c>
      <c r="B11" s="17" t="s">
        <v>1737</v>
      </c>
      <c r="C11" s="17" t="s">
        <v>1708</v>
      </c>
      <c r="D11" s="17" t="s">
        <v>1738</v>
      </c>
      <c r="E11" s="17" t="s">
        <v>1739</v>
      </c>
      <c r="F11" s="17" t="s">
        <v>1740</v>
      </c>
      <c r="G11" s="17" t="s">
        <v>1724</v>
      </c>
      <c r="H11" s="17" t="s">
        <v>1741</v>
      </c>
      <c r="I11" s="31" t="s">
        <v>4</v>
      </c>
    </row>
    <row r="12" spans="1:10" ht="43.5" x14ac:dyDescent="0.35">
      <c r="A12" s="17" t="s">
        <v>93</v>
      </c>
      <c r="B12" s="17" t="s">
        <v>1742</v>
      </c>
      <c r="C12" s="17" t="s">
        <v>1708</v>
      </c>
      <c r="D12" s="17" t="s">
        <v>1417</v>
      </c>
      <c r="E12" s="17" t="s">
        <v>1743</v>
      </c>
      <c r="F12" s="17" t="s">
        <v>1744</v>
      </c>
      <c r="G12" s="17" t="s">
        <v>1745</v>
      </c>
      <c r="H12" s="17" t="s">
        <v>1746</v>
      </c>
      <c r="I12" s="51" t="s">
        <v>4</v>
      </c>
    </row>
    <row r="13" spans="1:10" ht="29" x14ac:dyDescent="0.35">
      <c r="A13" s="17" t="s">
        <v>98</v>
      </c>
      <c r="B13" s="17" t="s">
        <v>1747</v>
      </c>
      <c r="C13" s="17" t="s">
        <v>1708</v>
      </c>
      <c r="D13" s="17" t="s">
        <v>1738</v>
      </c>
      <c r="E13" s="17" t="s">
        <v>1748</v>
      </c>
      <c r="F13" s="17" t="s">
        <v>1749</v>
      </c>
      <c r="G13" s="17" t="s">
        <v>1724</v>
      </c>
      <c r="H13" s="17" t="s">
        <v>1750</v>
      </c>
      <c r="I13" s="51" t="s">
        <v>4</v>
      </c>
    </row>
    <row r="14" spans="1:10" ht="43.5" x14ac:dyDescent="0.35">
      <c r="A14" s="17" t="s">
        <v>105</v>
      </c>
      <c r="B14" s="17" t="s">
        <v>1751</v>
      </c>
      <c r="C14" s="17" t="s">
        <v>1708</v>
      </c>
      <c r="D14" s="17" t="s">
        <v>1417</v>
      </c>
      <c r="E14" s="17" t="s">
        <v>1752</v>
      </c>
      <c r="F14" s="17" t="s">
        <v>1753</v>
      </c>
      <c r="G14" s="17" t="s">
        <v>1754</v>
      </c>
      <c r="H14" s="17" t="s">
        <v>1755</v>
      </c>
      <c r="I14" s="51" t="s">
        <v>4</v>
      </c>
    </row>
    <row r="15" spans="1:10" ht="29" x14ac:dyDescent="0.35">
      <c r="A15" s="17" t="s">
        <v>113</v>
      </c>
      <c r="B15" s="17" t="s">
        <v>1756</v>
      </c>
      <c r="C15" s="17" t="s">
        <v>1708</v>
      </c>
      <c r="D15" s="17" t="s">
        <v>1757</v>
      </c>
      <c r="E15" s="17" t="s">
        <v>1758</v>
      </c>
      <c r="F15" s="17" t="s">
        <v>1759</v>
      </c>
      <c r="G15" s="17" t="s">
        <v>1760</v>
      </c>
      <c r="H15" s="17" t="s">
        <v>1761</v>
      </c>
      <c r="I15" s="51" t="s">
        <v>4</v>
      </c>
    </row>
    <row r="16" spans="1:10" ht="29" x14ac:dyDescent="0.35">
      <c r="A16" s="17" t="s">
        <v>119</v>
      </c>
      <c r="B16" s="17" t="s">
        <v>1762</v>
      </c>
      <c r="C16" s="17" t="s">
        <v>1708</v>
      </c>
      <c r="D16" s="17" t="s">
        <v>315</v>
      </c>
      <c r="E16" s="17" t="s">
        <v>1681</v>
      </c>
      <c r="F16" s="17" t="s">
        <v>1763</v>
      </c>
      <c r="G16" s="17" t="s">
        <v>1764</v>
      </c>
      <c r="H16" s="17" t="s">
        <v>1765</v>
      </c>
      <c r="I16" s="51" t="s">
        <v>4</v>
      </c>
    </row>
    <row r="17" spans="1:9" ht="58" x14ac:dyDescent="0.35">
      <c r="A17" s="17" t="s">
        <v>125</v>
      </c>
      <c r="B17" s="17" t="s">
        <v>1766</v>
      </c>
      <c r="C17" s="17" t="s">
        <v>1708</v>
      </c>
      <c r="D17" s="17" t="s">
        <v>1767</v>
      </c>
      <c r="E17" s="17" t="s">
        <v>1768</v>
      </c>
      <c r="F17" s="17" t="s">
        <v>1769</v>
      </c>
      <c r="G17" s="17" t="s">
        <v>1770</v>
      </c>
      <c r="H17" s="17" t="s">
        <v>1771</v>
      </c>
      <c r="I17" s="51" t="s">
        <v>4</v>
      </c>
    </row>
    <row r="18" spans="1:9" ht="29" x14ac:dyDescent="0.35">
      <c r="A18" s="17" t="s">
        <v>132</v>
      </c>
      <c r="B18" s="17" t="s">
        <v>1772</v>
      </c>
      <c r="C18" s="17" t="s">
        <v>1708</v>
      </c>
      <c r="D18" s="17" t="s">
        <v>1773</v>
      </c>
      <c r="E18" s="17" t="s">
        <v>1774</v>
      </c>
      <c r="F18" s="17" t="s">
        <v>1775</v>
      </c>
      <c r="G18" s="17" t="s">
        <v>1776</v>
      </c>
      <c r="H18" s="17" t="s">
        <v>1777</v>
      </c>
      <c r="I18" s="51" t="s">
        <v>4</v>
      </c>
    </row>
    <row r="19" spans="1:9" ht="43.5" x14ac:dyDescent="0.35">
      <c r="A19" s="17" t="s">
        <v>138</v>
      </c>
      <c r="B19" s="17" t="s">
        <v>1778</v>
      </c>
      <c r="C19" s="17" t="s">
        <v>1708</v>
      </c>
      <c r="D19" s="17" t="s">
        <v>1779</v>
      </c>
      <c r="E19" s="17" t="s">
        <v>1780</v>
      </c>
      <c r="F19" s="17" t="s">
        <v>1781</v>
      </c>
      <c r="G19" s="17" t="s">
        <v>1782</v>
      </c>
      <c r="H19" s="17" t="s">
        <v>1783</v>
      </c>
      <c r="I19" s="51" t="s">
        <v>4</v>
      </c>
    </row>
    <row r="20" spans="1:9" ht="43.5" x14ac:dyDescent="0.35">
      <c r="A20" s="17" t="s">
        <v>144</v>
      </c>
      <c r="B20" s="17" t="s">
        <v>1784</v>
      </c>
      <c r="C20" s="17" t="s">
        <v>1708</v>
      </c>
      <c r="D20" s="17" t="s">
        <v>1785</v>
      </c>
      <c r="E20" s="17" t="s">
        <v>1786</v>
      </c>
      <c r="F20" s="17" t="s">
        <v>1787</v>
      </c>
      <c r="G20" s="17" t="s">
        <v>1788</v>
      </c>
      <c r="H20" s="17" t="s">
        <v>1789</v>
      </c>
      <c r="I20" s="51" t="s">
        <v>4</v>
      </c>
    </row>
    <row r="21" spans="1:9" ht="58" x14ac:dyDescent="0.35">
      <c r="A21" s="17" t="s">
        <v>150</v>
      </c>
      <c r="B21" s="17" t="s">
        <v>1790</v>
      </c>
      <c r="C21" s="17" t="s">
        <v>1708</v>
      </c>
      <c r="D21" s="17" t="s">
        <v>1791</v>
      </c>
      <c r="E21" s="17" t="s">
        <v>1792</v>
      </c>
      <c r="F21" s="17" t="s">
        <v>1793</v>
      </c>
      <c r="G21" s="17" t="s">
        <v>1794</v>
      </c>
      <c r="H21" s="33" t="s">
        <v>1795</v>
      </c>
      <c r="I21" s="51" t="s">
        <v>4</v>
      </c>
    </row>
    <row r="22" spans="1:9" ht="58" x14ac:dyDescent="0.35">
      <c r="A22" s="17" t="s">
        <v>157</v>
      </c>
      <c r="B22" s="17" t="s">
        <v>1796</v>
      </c>
      <c r="C22" s="17" t="s">
        <v>1708</v>
      </c>
      <c r="D22" s="17" t="s">
        <v>1417</v>
      </c>
      <c r="E22" s="17" t="s">
        <v>1797</v>
      </c>
      <c r="F22" s="17" t="s">
        <v>1798</v>
      </c>
      <c r="G22" s="17" t="s">
        <v>1799</v>
      </c>
      <c r="H22" s="33" t="s">
        <v>1800</v>
      </c>
      <c r="I22" s="51" t="s">
        <v>4</v>
      </c>
    </row>
    <row r="23" spans="1:9" ht="43.5" x14ac:dyDescent="0.35">
      <c r="A23" s="17" t="s">
        <v>163</v>
      </c>
      <c r="B23" s="17" t="s">
        <v>1801</v>
      </c>
      <c r="C23" s="17" t="s">
        <v>1708</v>
      </c>
      <c r="D23" s="17" t="s">
        <v>1802</v>
      </c>
      <c r="E23" s="17" t="s">
        <v>1803</v>
      </c>
      <c r="F23" s="17" t="s">
        <v>1804</v>
      </c>
      <c r="G23" s="17" t="s">
        <v>1805</v>
      </c>
      <c r="H23" s="33" t="s">
        <v>1806</v>
      </c>
      <c r="I23" s="51" t="s">
        <v>4</v>
      </c>
    </row>
    <row r="24" spans="1:9" ht="43.5" x14ac:dyDescent="0.35">
      <c r="A24" s="17" t="s">
        <v>299</v>
      </c>
      <c r="B24" s="17" t="s">
        <v>1807</v>
      </c>
      <c r="C24" s="17" t="s">
        <v>1708</v>
      </c>
      <c r="D24" s="17" t="s">
        <v>1808</v>
      </c>
      <c r="E24" s="17" t="s">
        <v>1809</v>
      </c>
      <c r="F24" s="17" t="s">
        <v>1810</v>
      </c>
      <c r="G24" s="17" t="s">
        <v>1811</v>
      </c>
      <c r="H24" s="33" t="s">
        <v>1812</v>
      </c>
      <c r="I24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83" priority="6" operator="containsText" text="Passed">
      <formula>NOT(ISERROR(SEARCH(("Passed"),(G1))))</formula>
    </cfRule>
    <cfRule type="containsText" dxfId="182" priority="7" operator="containsText" text="Failed">
      <formula>NOT(ISERROR(SEARCH(("Failed"),(G1))))</formula>
    </cfRule>
    <cfRule type="containsText" dxfId="181" priority="8" operator="containsText" text="Incomplete">
      <formula>NOT(ISERROR(SEARCH(("Incomplete"),(G1))))</formula>
    </cfRule>
  </conditionalFormatting>
  <conditionalFormatting sqref="I6:I24">
    <cfRule type="containsText" dxfId="180" priority="1" operator="containsText" text="Passed">
      <formula>NOT(ISERROR(SEARCH(("Passed"),(I6))))</formula>
    </cfRule>
    <cfRule type="containsText" dxfId="179" priority="2" operator="containsText" text="Failed">
      <formula>NOT(ISERROR(SEARCH(("Failed"),(I6))))</formula>
    </cfRule>
    <cfRule type="containsText" dxfId="178" priority="3" operator="containsText" text="Bug ok">
      <formula>NOT(ISERROR(SEARCH(("Bug ok"),(I6))))</formula>
    </cfRule>
    <cfRule type="containsText" dxfId="177" priority="4" operator="containsText" text="Blocked">
      <formula>NOT(ISERROR(SEARCH(("Blocked"),(I6))))</formula>
    </cfRule>
    <cfRule type="containsText" dxfId="176" priority="5" operator="containsText" text="Cannot run">
      <formula>NOT(ISERROR(SEARCH(("Cannot run"),(J6))))</formula>
    </cfRule>
  </conditionalFormatting>
  <dataValidations count="1">
    <dataValidation type="list" allowBlank="1" showErrorMessage="1" sqref="I6:I24" xr:uid="{5F148FF0-F673-48FF-9D7B-772633096726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0416-2A4A-47D3-A7C3-EBA9CE35A9D1}">
  <dimension ref="A1:J56"/>
  <sheetViews>
    <sheetView workbookViewId="0">
      <selection activeCell="H3" sqref="H3"/>
    </sheetView>
  </sheetViews>
  <sheetFormatPr defaultRowHeight="14.5" x14ac:dyDescent="0.35"/>
  <cols>
    <col min="1" max="1" width="38.453125" customWidth="1"/>
    <col min="2" max="4" width="27.81640625" customWidth="1"/>
    <col min="5" max="5" width="33.7265625" customWidth="1"/>
    <col min="6" max="6" width="40.81640625" customWidth="1"/>
    <col min="7" max="10" width="27.81640625" customWidth="1"/>
  </cols>
  <sheetData>
    <row r="1" spans="1:10" ht="15.5" x14ac:dyDescent="0.35">
      <c r="A1" s="76"/>
      <c r="B1" s="85" t="s">
        <v>2</v>
      </c>
      <c r="C1" s="78"/>
      <c r="D1" s="86" t="s">
        <v>28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COUNTIF(A6:A47,"TC-??")</f>
        <v>18</v>
      </c>
      <c r="H2" s="14">
        <f>COUNTIF(I4:I844,"Đạt")</f>
        <v>18</v>
      </c>
      <c r="I2" s="6">
        <f>COUNTIF(G4:G904,"Không Đạt")</f>
        <v>0</v>
      </c>
      <c r="J2" s="6">
        <f>COUNTIF(G4:G904,"Chưa Xong")</f>
        <v>0</v>
      </c>
    </row>
    <row r="3" spans="1:10" ht="18" x14ac:dyDescent="0.35">
      <c r="A3" s="76"/>
      <c r="B3" s="85" t="s">
        <v>55</v>
      </c>
      <c r="C3" s="78"/>
      <c r="D3" s="88">
        <v>45986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29" x14ac:dyDescent="0.35">
      <c r="A6" s="17" t="s">
        <v>65</v>
      </c>
      <c r="B6" s="17" t="s">
        <v>1813</v>
      </c>
      <c r="C6" s="17" t="s">
        <v>1814</v>
      </c>
      <c r="D6" s="17" t="s">
        <v>205</v>
      </c>
      <c r="E6" s="17" t="s">
        <v>1815</v>
      </c>
      <c r="F6" s="17" t="s">
        <v>1816</v>
      </c>
      <c r="G6" s="17" t="s">
        <v>1817</v>
      </c>
      <c r="H6" s="17" t="s">
        <v>1818</v>
      </c>
      <c r="I6" s="31" t="s">
        <v>4</v>
      </c>
    </row>
    <row r="7" spans="1:10" ht="29" x14ac:dyDescent="0.35">
      <c r="A7" s="17" t="s">
        <v>72</v>
      </c>
      <c r="B7" s="17" t="s">
        <v>1819</v>
      </c>
      <c r="C7" s="17" t="s">
        <v>1814</v>
      </c>
      <c r="D7" s="17" t="s">
        <v>1820</v>
      </c>
      <c r="E7" s="17" t="s">
        <v>1821</v>
      </c>
      <c r="F7" s="17" t="s">
        <v>1822</v>
      </c>
      <c r="G7" s="17" t="s">
        <v>1823</v>
      </c>
      <c r="H7" s="17" t="s">
        <v>1824</v>
      </c>
      <c r="I7" s="51" t="s">
        <v>4</v>
      </c>
    </row>
    <row r="8" spans="1:10" ht="29" x14ac:dyDescent="0.35">
      <c r="A8" s="17" t="s">
        <v>77</v>
      </c>
      <c r="B8" s="17" t="s">
        <v>1825</v>
      </c>
      <c r="C8" s="17" t="s">
        <v>1814</v>
      </c>
      <c r="D8" s="17" t="s">
        <v>1826</v>
      </c>
      <c r="E8" s="17" t="s">
        <v>1827</v>
      </c>
      <c r="F8" s="17" t="s">
        <v>1828</v>
      </c>
      <c r="G8" s="17" t="s">
        <v>1829</v>
      </c>
      <c r="H8" s="17" t="s">
        <v>1830</v>
      </c>
      <c r="I8" s="51" t="s">
        <v>4</v>
      </c>
    </row>
    <row r="9" spans="1:10" ht="29" x14ac:dyDescent="0.35">
      <c r="A9" s="17" t="s">
        <v>83</v>
      </c>
      <c r="B9" s="17" t="s">
        <v>1831</v>
      </c>
      <c r="C9" s="17" t="s">
        <v>1814</v>
      </c>
      <c r="D9" s="17" t="s">
        <v>1826</v>
      </c>
      <c r="E9" s="17" t="s">
        <v>1832</v>
      </c>
      <c r="F9" s="17" t="s">
        <v>1833</v>
      </c>
      <c r="G9" s="17" t="s">
        <v>1834</v>
      </c>
      <c r="H9" s="17" t="s">
        <v>1835</v>
      </c>
      <c r="I9" s="51" t="s">
        <v>4</v>
      </c>
    </row>
    <row r="10" spans="1:10" ht="29" x14ac:dyDescent="0.35">
      <c r="A10" s="17" t="s">
        <v>88</v>
      </c>
      <c r="B10" s="17" t="s">
        <v>1836</v>
      </c>
      <c r="C10" s="17" t="s">
        <v>1814</v>
      </c>
      <c r="D10" s="17" t="s">
        <v>1826</v>
      </c>
      <c r="E10" s="17" t="s">
        <v>1837</v>
      </c>
      <c r="F10" s="17" t="s">
        <v>1838</v>
      </c>
      <c r="G10" s="17" t="s">
        <v>1839</v>
      </c>
      <c r="H10" s="17" t="s">
        <v>1840</v>
      </c>
      <c r="I10" s="51" t="s">
        <v>4</v>
      </c>
    </row>
    <row r="11" spans="1:10" ht="29" x14ac:dyDescent="0.35">
      <c r="A11" s="17" t="s">
        <v>233</v>
      </c>
      <c r="B11" s="17" t="s">
        <v>1841</v>
      </c>
      <c r="C11" s="17" t="s">
        <v>1814</v>
      </c>
      <c r="D11" s="17" t="s">
        <v>315</v>
      </c>
      <c r="E11" s="17" t="s">
        <v>1842</v>
      </c>
      <c r="F11" s="17" t="s">
        <v>1843</v>
      </c>
      <c r="G11" s="17" t="s">
        <v>1844</v>
      </c>
      <c r="H11" s="17" t="s">
        <v>1845</v>
      </c>
      <c r="I11" s="51" t="s">
        <v>4</v>
      </c>
    </row>
    <row r="12" spans="1:10" ht="29" x14ac:dyDescent="0.35">
      <c r="A12" s="17" t="s">
        <v>93</v>
      </c>
      <c r="B12" s="17" t="s">
        <v>1846</v>
      </c>
      <c r="C12" s="17" t="s">
        <v>1814</v>
      </c>
      <c r="D12" s="17" t="s">
        <v>1847</v>
      </c>
      <c r="E12" s="17" t="s">
        <v>1848</v>
      </c>
      <c r="F12" s="17" t="s">
        <v>1849</v>
      </c>
      <c r="G12" s="17" t="s">
        <v>1850</v>
      </c>
      <c r="H12" s="17" t="s">
        <v>1851</v>
      </c>
      <c r="I12" s="51" t="s">
        <v>4</v>
      </c>
    </row>
    <row r="13" spans="1:10" ht="29" x14ac:dyDescent="0.35">
      <c r="A13" s="17" t="s">
        <v>98</v>
      </c>
      <c r="B13" s="17" t="s">
        <v>1852</v>
      </c>
      <c r="C13" s="17" t="s">
        <v>1814</v>
      </c>
      <c r="D13" s="17" t="s">
        <v>1853</v>
      </c>
      <c r="E13" s="17" t="s">
        <v>1854</v>
      </c>
      <c r="F13" s="17" t="s">
        <v>1855</v>
      </c>
      <c r="G13" s="17" t="s">
        <v>1856</v>
      </c>
      <c r="H13" s="17" t="s">
        <v>1857</v>
      </c>
      <c r="I13" s="51" t="s">
        <v>4</v>
      </c>
    </row>
    <row r="14" spans="1:10" ht="29" x14ac:dyDescent="0.35">
      <c r="A14" s="17" t="s">
        <v>105</v>
      </c>
      <c r="B14" s="17" t="s">
        <v>1858</v>
      </c>
      <c r="C14" s="17" t="s">
        <v>1814</v>
      </c>
      <c r="D14" s="17" t="s">
        <v>854</v>
      </c>
      <c r="E14" s="17" t="s">
        <v>1859</v>
      </c>
      <c r="F14" s="17" t="s">
        <v>1860</v>
      </c>
      <c r="G14" s="17" t="s">
        <v>1861</v>
      </c>
      <c r="H14" s="17" t="s">
        <v>1862</v>
      </c>
      <c r="I14" s="51" t="s">
        <v>4</v>
      </c>
    </row>
    <row r="15" spans="1:10" ht="29" x14ac:dyDescent="0.35">
      <c r="A15" s="17" t="s">
        <v>113</v>
      </c>
      <c r="B15" s="17" t="s">
        <v>1863</v>
      </c>
      <c r="C15" s="17" t="s">
        <v>1814</v>
      </c>
      <c r="D15" s="17" t="s">
        <v>1864</v>
      </c>
      <c r="E15" s="17" t="s">
        <v>1865</v>
      </c>
      <c r="F15" s="17" t="s">
        <v>1866</v>
      </c>
      <c r="G15" s="17" t="s">
        <v>1867</v>
      </c>
      <c r="H15" s="17" t="s">
        <v>1868</v>
      </c>
      <c r="I15" s="51" t="s">
        <v>4</v>
      </c>
    </row>
    <row r="16" spans="1:10" ht="29" x14ac:dyDescent="0.35">
      <c r="A16" s="17" t="s">
        <v>119</v>
      </c>
      <c r="B16" s="17" t="s">
        <v>1869</v>
      </c>
      <c r="C16" s="17" t="s">
        <v>1814</v>
      </c>
      <c r="D16" s="17" t="s">
        <v>368</v>
      </c>
      <c r="E16" s="17" t="s">
        <v>1870</v>
      </c>
      <c r="F16" s="17" t="s">
        <v>1871</v>
      </c>
      <c r="G16" s="40" t="s">
        <v>1872</v>
      </c>
      <c r="H16" s="17" t="s">
        <v>1873</v>
      </c>
      <c r="I16" s="51" t="s">
        <v>4</v>
      </c>
    </row>
    <row r="17" spans="1:9" ht="29" x14ac:dyDescent="0.35">
      <c r="A17" s="17" t="s">
        <v>125</v>
      </c>
      <c r="B17" s="17" t="s">
        <v>1874</v>
      </c>
      <c r="C17" s="17" t="s">
        <v>1814</v>
      </c>
      <c r="D17" s="17" t="s">
        <v>368</v>
      </c>
      <c r="E17" s="17" t="s">
        <v>1875</v>
      </c>
      <c r="F17" s="17" t="s">
        <v>1876</v>
      </c>
      <c r="G17" s="17" t="s">
        <v>1877</v>
      </c>
      <c r="H17" s="17" t="s">
        <v>1878</v>
      </c>
      <c r="I17" s="51" t="s">
        <v>4</v>
      </c>
    </row>
    <row r="18" spans="1:9" ht="29" x14ac:dyDescent="0.35">
      <c r="A18" s="17" t="s">
        <v>132</v>
      </c>
      <c r="B18" s="17" t="s">
        <v>1879</v>
      </c>
      <c r="C18" s="17" t="s">
        <v>1814</v>
      </c>
      <c r="D18" s="17" t="s">
        <v>1880</v>
      </c>
      <c r="E18" s="17" t="s">
        <v>1881</v>
      </c>
      <c r="F18" s="17" t="s">
        <v>1882</v>
      </c>
      <c r="G18" s="17" t="s">
        <v>1883</v>
      </c>
      <c r="H18" s="17" t="s">
        <v>1884</v>
      </c>
      <c r="I18" s="51" t="s">
        <v>4</v>
      </c>
    </row>
    <row r="19" spans="1:9" ht="29" x14ac:dyDescent="0.35">
      <c r="A19" s="17" t="s">
        <v>138</v>
      </c>
      <c r="B19" s="17" t="s">
        <v>1885</v>
      </c>
      <c r="C19" s="17" t="s">
        <v>1814</v>
      </c>
      <c r="D19" s="17" t="s">
        <v>1886</v>
      </c>
      <c r="E19" s="17" t="s">
        <v>1887</v>
      </c>
      <c r="F19" s="17" t="s">
        <v>1888</v>
      </c>
      <c r="G19" s="17" t="s">
        <v>1823</v>
      </c>
      <c r="H19" s="17" t="s">
        <v>1889</v>
      </c>
      <c r="I19" s="51" t="s">
        <v>4</v>
      </c>
    </row>
    <row r="20" spans="1:9" ht="29" x14ac:dyDescent="0.35">
      <c r="A20" s="17" t="s">
        <v>144</v>
      </c>
      <c r="B20" s="17" t="s">
        <v>1890</v>
      </c>
      <c r="C20" s="17" t="s">
        <v>1814</v>
      </c>
      <c r="D20" s="17" t="s">
        <v>1579</v>
      </c>
      <c r="E20" s="17" t="s">
        <v>1891</v>
      </c>
      <c r="F20" s="17" t="s">
        <v>1892</v>
      </c>
      <c r="G20" s="17" t="s">
        <v>1893</v>
      </c>
      <c r="H20" s="17" t="s">
        <v>1894</v>
      </c>
      <c r="I20" s="51" t="s">
        <v>4</v>
      </c>
    </row>
    <row r="21" spans="1:9" ht="29" x14ac:dyDescent="0.35">
      <c r="A21" s="17" t="s">
        <v>150</v>
      </c>
      <c r="B21" s="17" t="s">
        <v>1895</v>
      </c>
      <c r="C21" s="17" t="s">
        <v>1814</v>
      </c>
      <c r="D21" s="17" t="s">
        <v>1896</v>
      </c>
      <c r="E21" s="17" t="s">
        <v>1897</v>
      </c>
      <c r="F21" s="17" t="s">
        <v>1898</v>
      </c>
      <c r="G21" s="17" t="s">
        <v>1823</v>
      </c>
      <c r="H21" s="17" t="s">
        <v>1899</v>
      </c>
      <c r="I21" s="31" t="s">
        <v>4</v>
      </c>
    </row>
    <row r="22" spans="1:9" ht="29" x14ac:dyDescent="0.35">
      <c r="A22" s="17" t="s">
        <v>157</v>
      </c>
      <c r="B22" s="17" t="s">
        <v>1900</v>
      </c>
      <c r="C22" s="17" t="s">
        <v>1814</v>
      </c>
      <c r="D22" s="17" t="s">
        <v>1901</v>
      </c>
      <c r="E22" s="17" t="s">
        <v>1902</v>
      </c>
      <c r="F22" s="17" t="s">
        <v>1903</v>
      </c>
      <c r="G22" s="17" t="s">
        <v>1904</v>
      </c>
      <c r="H22" s="17" t="s">
        <v>1905</v>
      </c>
      <c r="I22" s="31" t="s">
        <v>4</v>
      </c>
    </row>
    <row r="23" spans="1:9" ht="29" x14ac:dyDescent="0.35">
      <c r="A23" s="17" t="s">
        <v>163</v>
      </c>
      <c r="B23" s="17" t="s">
        <v>1906</v>
      </c>
      <c r="C23" s="17" t="s">
        <v>1814</v>
      </c>
      <c r="D23" s="17" t="s">
        <v>1471</v>
      </c>
      <c r="E23" s="17" t="s">
        <v>1907</v>
      </c>
      <c r="F23" s="17" t="s">
        <v>1908</v>
      </c>
      <c r="G23" s="17" t="s">
        <v>1909</v>
      </c>
      <c r="H23" s="17" t="s">
        <v>1910</v>
      </c>
      <c r="I23" s="31" t="s">
        <v>4</v>
      </c>
    </row>
    <row r="24" spans="1:9" x14ac:dyDescent="0.35">
      <c r="I24" s="31"/>
    </row>
    <row r="25" spans="1:9" x14ac:dyDescent="0.35">
      <c r="A25" s="17"/>
      <c r="B25" s="17"/>
      <c r="C25" s="17"/>
      <c r="D25" s="17"/>
      <c r="E25" s="17"/>
      <c r="F25" s="17"/>
      <c r="G25" s="17"/>
      <c r="H25" s="17"/>
      <c r="I25" s="31"/>
    </row>
    <row r="26" spans="1:9" x14ac:dyDescent="0.35">
      <c r="A26" s="17"/>
      <c r="B26" s="17"/>
      <c r="C26" s="17"/>
      <c r="D26" s="17"/>
      <c r="E26" s="17"/>
      <c r="F26" s="17"/>
      <c r="G26" s="17"/>
      <c r="H26" s="17"/>
      <c r="I26" s="31"/>
    </row>
    <row r="27" spans="1:9" x14ac:dyDescent="0.35">
      <c r="A27" s="17"/>
      <c r="B27" s="17"/>
      <c r="C27" s="17"/>
      <c r="D27" s="17"/>
      <c r="E27" s="17"/>
      <c r="F27" s="17"/>
      <c r="G27" s="17"/>
      <c r="H27" s="17"/>
      <c r="I27" s="31"/>
    </row>
    <row r="28" spans="1:9" x14ac:dyDescent="0.35">
      <c r="A28" s="17"/>
      <c r="B28" s="17"/>
      <c r="C28" s="17"/>
      <c r="D28" s="17"/>
      <c r="E28" s="17"/>
      <c r="F28" s="17"/>
      <c r="G28" s="17"/>
      <c r="H28" s="17"/>
      <c r="I28" s="31"/>
    </row>
    <row r="29" spans="1:9" x14ac:dyDescent="0.35">
      <c r="A29" s="17"/>
      <c r="B29" s="17"/>
      <c r="C29" s="17"/>
      <c r="D29" s="17"/>
      <c r="E29" s="17"/>
      <c r="F29" s="17"/>
      <c r="G29" s="17"/>
      <c r="H29" s="17"/>
      <c r="I29" s="31"/>
    </row>
    <row r="30" spans="1:9" x14ac:dyDescent="0.35">
      <c r="A30" s="17"/>
      <c r="B30" s="17"/>
      <c r="C30" s="17"/>
      <c r="D30" s="17"/>
      <c r="E30" s="17"/>
      <c r="F30" s="17"/>
      <c r="G30" s="17"/>
      <c r="H30" s="17"/>
      <c r="I30" s="31"/>
    </row>
    <row r="31" spans="1:9" x14ac:dyDescent="0.35">
      <c r="A31" s="17"/>
      <c r="B31" s="17"/>
      <c r="C31" s="17"/>
      <c r="D31" s="17"/>
      <c r="E31" s="17"/>
      <c r="F31" s="17"/>
      <c r="G31" s="17"/>
      <c r="H31" s="17"/>
      <c r="I31" s="31"/>
    </row>
    <row r="32" spans="1:9" x14ac:dyDescent="0.35">
      <c r="A32" s="17"/>
      <c r="B32" s="17"/>
      <c r="C32" s="17"/>
      <c r="D32" s="17"/>
      <c r="E32" s="17"/>
      <c r="F32" s="17"/>
      <c r="G32" s="17"/>
      <c r="H32" s="17"/>
      <c r="I32" s="31"/>
    </row>
    <row r="33" spans="1:9" ht="15.75" customHeight="1" x14ac:dyDescent="0.35">
      <c r="A33" s="17"/>
      <c r="B33" s="17"/>
      <c r="C33" s="17"/>
      <c r="D33" s="17"/>
      <c r="E33" s="17"/>
      <c r="F33" s="17"/>
      <c r="G33" s="17"/>
      <c r="H33" s="17"/>
      <c r="I33" s="17"/>
    </row>
    <row r="34" spans="1:9" x14ac:dyDescent="0.35">
      <c r="A34" s="17"/>
      <c r="B34" s="17"/>
      <c r="C34" s="17"/>
      <c r="D34" s="17"/>
      <c r="E34" s="17"/>
      <c r="F34" s="17"/>
      <c r="G34" s="17"/>
      <c r="H34" s="17"/>
      <c r="I34" s="17"/>
    </row>
    <row r="35" spans="1:9" x14ac:dyDescent="0.35">
      <c r="A35" s="17"/>
      <c r="B35" s="17"/>
      <c r="C35" s="17"/>
      <c r="D35" s="17"/>
      <c r="E35" s="17"/>
      <c r="F35" s="17"/>
      <c r="G35" s="17"/>
      <c r="H35" s="17"/>
      <c r="I35" s="17"/>
    </row>
    <row r="36" spans="1:9" x14ac:dyDescent="0.35">
      <c r="A36" s="17"/>
      <c r="B36" s="17"/>
      <c r="C36" s="17"/>
      <c r="D36" s="17"/>
      <c r="E36" s="17"/>
      <c r="F36" s="17"/>
      <c r="G36" s="17"/>
      <c r="H36" s="17"/>
      <c r="I36" s="17"/>
    </row>
    <row r="37" spans="1:9" x14ac:dyDescent="0.35">
      <c r="A37" s="17"/>
      <c r="B37" s="17"/>
      <c r="C37" s="17"/>
      <c r="D37" s="17"/>
      <c r="E37" s="17"/>
      <c r="F37" s="17"/>
      <c r="G37" s="17"/>
      <c r="H37" s="17"/>
      <c r="I37" s="17"/>
    </row>
    <row r="38" spans="1:9" x14ac:dyDescent="0.35">
      <c r="A38" s="17"/>
      <c r="B38" s="17"/>
      <c r="C38" s="17"/>
      <c r="D38" s="17"/>
      <c r="E38" s="17"/>
      <c r="F38" s="17"/>
      <c r="G38" s="17"/>
      <c r="H38" s="17"/>
      <c r="I38" s="17"/>
    </row>
    <row r="39" spans="1:9" x14ac:dyDescent="0.35">
      <c r="A39" s="17"/>
      <c r="B39" s="17"/>
      <c r="C39" s="17"/>
      <c r="D39" s="17"/>
      <c r="E39" s="17"/>
      <c r="F39" s="17"/>
      <c r="G39" s="17"/>
      <c r="H39" s="17"/>
      <c r="I39" s="17"/>
    </row>
    <row r="40" spans="1:9" x14ac:dyDescent="0.35">
      <c r="A40" s="17"/>
      <c r="B40" s="17"/>
      <c r="C40" s="17"/>
      <c r="D40" s="17"/>
      <c r="E40" s="17"/>
      <c r="F40" s="17"/>
      <c r="G40" s="17"/>
      <c r="H40" s="17"/>
      <c r="I40" s="17"/>
    </row>
    <row r="41" spans="1:9" x14ac:dyDescent="0.35">
      <c r="A41" s="17"/>
      <c r="B41" s="17"/>
      <c r="C41" s="17"/>
      <c r="D41" s="17"/>
      <c r="E41" s="17"/>
      <c r="F41" s="17"/>
      <c r="G41" s="17"/>
      <c r="H41" s="17"/>
      <c r="I41" s="17"/>
    </row>
    <row r="42" spans="1:9" x14ac:dyDescent="0.35">
      <c r="A42" s="17"/>
      <c r="B42" s="17"/>
      <c r="C42" s="17"/>
      <c r="D42" s="17"/>
      <c r="E42" s="17"/>
      <c r="F42" s="17"/>
      <c r="G42" s="17"/>
      <c r="H42" s="17"/>
      <c r="I42" s="17"/>
    </row>
    <row r="43" spans="1:9" x14ac:dyDescent="0.35">
      <c r="A43" s="17"/>
      <c r="B43" s="17"/>
      <c r="C43" s="17"/>
      <c r="D43" s="17"/>
      <c r="E43" s="17"/>
      <c r="F43" s="17"/>
      <c r="G43" s="17"/>
      <c r="H43" s="17"/>
    </row>
    <row r="44" spans="1:9" x14ac:dyDescent="0.35">
      <c r="A44" s="17"/>
      <c r="B44" s="17"/>
      <c r="C44" s="17"/>
      <c r="D44" s="17"/>
      <c r="E44" s="17"/>
      <c r="F44" s="17"/>
      <c r="G44" s="17"/>
      <c r="H44" s="17"/>
    </row>
    <row r="45" spans="1:9" x14ac:dyDescent="0.35">
      <c r="A45" s="17"/>
      <c r="B45" s="17"/>
      <c r="C45" s="17"/>
      <c r="D45" s="17"/>
      <c r="E45" s="17"/>
      <c r="F45" s="17"/>
      <c r="G45" s="17"/>
      <c r="H45" s="17"/>
    </row>
    <row r="46" spans="1:9" x14ac:dyDescent="0.35">
      <c r="A46" s="17"/>
      <c r="B46" s="17"/>
      <c r="C46" s="17"/>
      <c r="D46" s="17"/>
      <c r="E46" s="17"/>
      <c r="F46" s="17"/>
      <c r="G46" s="17"/>
      <c r="H46" s="17"/>
    </row>
    <row r="47" spans="1:9" x14ac:dyDescent="0.35">
      <c r="A47" s="17"/>
      <c r="B47" s="17"/>
      <c r="C47" s="17"/>
      <c r="D47" s="17"/>
      <c r="E47" s="17"/>
      <c r="F47" s="17"/>
      <c r="G47" s="17"/>
      <c r="H47" s="17"/>
    </row>
    <row r="48" spans="1:9" x14ac:dyDescent="0.35">
      <c r="A48" s="17"/>
      <c r="B48" s="17"/>
      <c r="C48" s="17"/>
      <c r="D48" s="17"/>
      <c r="E48" s="17"/>
      <c r="F48" s="17"/>
      <c r="G48" s="17"/>
      <c r="H48" s="17"/>
    </row>
    <row r="49" spans="1:8" x14ac:dyDescent="0.35">
      <c r="A49" s="17"/>
      <c r="B49" s="17"/>
      <c r="C49" s="17"/>
      <c r="D49" s="17"/>
      <c r="E49" s="17"/>
      <c r="F49" s="17"/>
      <c r="G49" s="17"/>
      <c r="H49" s="17"/>
    </row>
    <row r="50" spans="1:8" x14ac:dyDescent="0.35">
      <c r="A50" s="17"/>
      <c r="B50" s="17"/>
      <c r="C50" s="17"/>
      <c r="D50" s="17"/>
      <c r="E50" s="17"/>
      <c r="F50" s="17"/>
      <c r="G50" s="17"/>
      <c r="H50" s="17"/>
    </row>
    <row r="51" spans="1:8" x14ac:dyDescent="0.35">
      <c r="A51" s="17"/>
      <c r="B51" s="17"/>
      <c r="C51" s="17"/>
      <c r="D51" s="17"/>
      <c r="E51" s="17"/>
      <c r="F51" s="17"/>
      <c r="G51" s="17"/>
      <c r="H51" s="17"/>
    </row>
    <row r="52" spans="1:8" x14ac:dyDescent="0.35">
      <c r="A52" s="17"/>
      <c r="B52" s="17"/>
      <c r="C52" s="17"/>
      <c r="D52" s="17"/>
      <c r="E52" s="17"/>
      <c r="F52" s="17"/>
      <c r="G52" s="17"/>
      <c r="H52" s="17"/>
    </row>
    <row r="53" spans="1:8" x14ac:dyDescent="0.35">
      <c r="A53" s="17"/>
      <c r="B53" s="17"/>
      <c r="C53" s="17"/>
      <c r="D53" s="17"/>
      <c r="E53" s="17"/>
      <c r="F53" s="17"/>
      <c r="G53" s="17"/>
      <c r="H53" s="17"/>
    </row>
    <row r="54" spans="1:8" x14ac:dyDescent="0.35">
      <c r="A54" s="17"/>
      <c r="B54" s="17"/>
      <c r="C54" s="17"/>
      <c r="D54" s="17"/>
      <c r="E54" s="17"/>
      <c r="F54" s="17"/>
      <c r="G54" s="17"/>
      <c r="H54" s="17"/>
    </row>
    <row r="55" spans="1:8" x14ac:dyDescent="0.35">
      <c r="A55" s="17"/>
      <c r="B55" s="17"/>
      <c r="C55" s="17"/>
      <c r="D55" s="17"/>
      <c r="E55" s="17"/>
      <c r="F55" s="17"/>
      <c r="G55" s="17"/>
      <c r="H55" s="17"/>
    </row>
    <row r="56" spans="1:8" x14ac:dyDescent="0.35">
      <c r="A56" s="17"/>
      <c r="B56" s="17"/>
      <c r="C56" s="17"/>
      <c r="D56" s="17"/>
      <c r="E56" s="17"/>
      <c r="F56" s="17"/>
      <c r="G56" s="17"/>
      <c r="H56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75" priority="11" operator="containsText" text="Passed">
      <formula>NOT(ISERROR(SEARCH(("Passed"),(G1))))</formula>
    </cfRule>
    <cfRule type="containsText" dxfId="174" priority="12" operator="containsText" text="Failed">
      <formula>NOT(ISERROR(SEARCH(("Failed"),(G1))))</formula>
    </cfRule>
    <cfRule type="containsText" dxfId="173" priority="13" operator="containsText" text="Incomplete">
      <formula>NOT(ISERROR(SEARCH(("Incomplete"),(G1))))</formula>
    </cfRule>
  </conditionalFormatting>
  <conditionalFormatting sqref="I6:I32">
    <cfRule type="containsText" dxfId="172" priority="1" operator="containsText" text="Passed">
      <formula>NOT(ISERROR(SEARCH(("Passed"),(I6))))</formula>
    </cfRule>
    <cfRule type="containsText" dxfId="171" priority="2" operator="containsText" text="Failed">
      <formula>NOT(ISERROR(SEARCH(("Failed"),(I6))))</formula>
    </cfRule>
    <cfRule type="containsText" dxfId="170" priority="3" operator="containsText" text="Bug ok">
      <formula>NOT(ISERROR(SEARCH(("Bug ok"),(I6))))</formula>
    </cfRule>
    <cfRule type="containsText" dxfId="169" priority="4" operator="containsText" text="Blocked">
      <formula>NOT(ISERROR(SEARCH(("Blocked"),(I6))))</formula>
    </cfRule>
    <cfRule type="containsText" dxfId="168" priority="5" operator="containsText" text="Cannot run">
      <formula>NOT(ISERROR(SEARCH(("Cannot run"),(J6))))</formula>
    </cfRule>
  </conditionalFormatting>
  <dataValidations count="1">
    <dataValidation type="list" allowBlank="1" showErrorMessage="1" sqref="I6:I32" xr:uid="{F9ECEDA9-B1EC-4697-9E75-3046FDCE5B40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4B06-76C1-4ED3-8892-D1A7A6013357}">
  <dimension ref="A1:J26"/>
  <sheetViews>
    <sheetView workbookViewId="0">
      <selection activeCell="H3" sqref="H3"/>
    </sheetView>
  </sheetViews>
  <sheetFormatPr defaultRowHeight="14.5" x14ac:dyDescent="0.35"/>
  <cols>
    <col min="1" max="1" width="38.81640625" customWidth="1"/>
    <col min="2" max="10" width="30.26953125" customWidth="1"/>
  </cols>
  <sheetData>
    <row r="1" spans="1:10" ht="15.75" customHeight="1" x14ac:dyDescent="0.35">
      <c r="A1" s="76"/>
      <c r="B1" s="97" t="s">
        <v>2</v>
      </c>
      <c r="C1" s="90"/>
      <c r="D1" s="98" t="s">
        <v>1911</v>
      </c>
      <c r="E1" s="92"/>
      <c r="F1" s="99"/>
      <c r="G1" s="52" t="s">
        <v>52</v>
      </c>
      <c r="H1" s="42" t="s">
        <v>4</v>
      </c>
      <c r="I1" s="53" t="s">
        <v>5</v>
      </c>
      <c r="J1" s="54" t="s">
        <v>6</v>
      </c>
    </row>
    <row r="2" spans="1:10" ht="18" customHeight="1" x14ac:dyDescent="0.35">
      <c r="A2" s="76"/>
      <c r="B2" s="97" t="s">
        <v>53</v>
      </c>
      <c r="C2" s="90"/>
      <c r="D2" s="98" t="s">
        <v>54</v>
      </c>
      <c r="E2" s="92"/>
      <c r="F2" s="94"/>
      <c r="G2" s="55">
        <f>COUNTIF(A6:A47,"TC-??")</f>
        <v>21</v>
      </c>
      <c r="H2" s="46">
        <f>COUNTIF(I4:I844,"Đạt")</f>
        <v>21</v>
      </c>
      <c r="I2" s="56">
        <f>COUNTIF(G4:G904,"Không Đạt")</f>
        <v>0</v>
      </c>
      <c r="J2" s="56">
        <f>COUNTIF(G4:G904,"Chưa Xong")</f>
        <v>0</v>
      </c>
    </row>
    <row r="3" spans="1:10" ht="18" customHeight="1" x14ac:dyDescent="0.35">
      <c r="A3" s="76"/>
      <c r="B3" s="97" t="s">
        <v>55</v>
      </c>
      <c r="C3" s="90"/>
      <c r="D3" s="100">
        <v>45986</v>
      </c>
      <c r="E3" s="92"/>
      <c r="F3" s="95"/>
      <c r="G3" s="57">
        <f>SUM(H3+I3+J3)</f>
        <v>1</v>
      </c>
      <c r="H3" s="48">
        <f>H2/G2</f>
        <v>1</v>
      </c>
      <c r="I3" s="58">
        <f>I2/G2</f>
        <v>0</v>
      </c>
      <c r="J3" s="57">
        <f>J2/G2</f>
        <v>0</v>
      </c>
    </row>
    <row r="5" spans="1:10" ht="15.75" customHeight="1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29" x14ac:dyDescent="0.35">
      <c r="A6" s="17" t="s">
        <v>65</v>
      </c>
      <c r="B6" s="17" t="s">
        <v>1912</v>
      </c>
      <c r="C6" s="17" t="s">
        <v>1913</v>
      </c>
      <c r="D6" s="17" t="s">
        <v>1914</v>
      </c>
      <c r="E6" s="17" t="s">
        <v>1815</v>
      </c>
      <c r="F6" s="17" t="s">
        <v>1915</v>
      </c>
      <c r="G6" s="40" t="s">
        <v>1916</v>
      </c>
      <c r="H6" s="17" t="s">
        <v>1917</v>
      </c>
      <c r="I6" s="51" t="s">
        <v>4</v>
      </c>
    </row>
    <row r="7" spans="1:10" ht="29" x14ac:dyDescent="0.35">
      <c r="A7" s="17" t="s">
        <v>72</v>
      </c>
      <c r="B7" s="17" t="s">
        <v>1918</v>
      </c>
      <c r="C7" s="17" t="s">
        <v>1913</v>
      </c>
      <c r="D7" s="17" t="s">
        <v>1919</v>
      </c>
      <c r="E7" s="17" t="s">
        <v>1920</v>
      </c>
      <c r="F7" s="17" t="s">
        <v>1921</v>
      </c>
      <c r="G7" s="17" t="s">
        <v>1922</v>
      </c>
      <c r="H7" s="17" t="s">
        <v>1923</v>
      </c>
      <c r="I7" s="51" t="s">
        <v>4</v>
      </c>
    </row>
    <row r="8" spans="1:10" ht="29" x14ac:dyDescent="0.35">
      <c r="A8" s="17" t="s">
        <v>77</v>
      </c>
      <c r="B8" s="17" t="s">
        <v>1924</v>
      </c>
      <c r="C8" s="17" t="s">
        <v>1913</v>
      </c>
      <c r="D8" s="17" t="s">
        <v>1919</v>
      </c>
      <c r="E8" s="17" t="s">
        <v>1925</v>
      </c>
      <c r="F8" s="17" t="s">
        <v>1926</v>
      </c>
      <c r="G8" s="17" t="s">
        <v>1927</v>
      </c>
      <c r="H8" s="17" t="s">
        <v>1928</v>
      </c>
      <c r="I8" s="51" t="s">
        <v>4</v>
      </c>
    </row>
    <row r="9" spans="1:10" x14ac:dyDescent="0.35">
      <c r="A9" s="17" t="s">
        <v>83</v>
      </c>
      <c r="B9" s="17" t="s">
        <v>1929</v>
      </c>
      <c r="C9" s="17" t="s">
        <v>1913</v>
      </c>
      <c r="D9" s="17" t="s">
        <v>217</v>
      </c>
      <c r="E9" s="17" t="s">
        <v>1930</v>
      </c>
      <c r="F9" s="17" t="s">
        <v>1833</v>
      </c>
      <c r="G9" s="17" t="s">
        <v>1931</v>
      </c>
      <c r="H9" s="17" t="s">
        <v>1932</v>
      </c>
      <c r="I9" s="51" t="s">
        <v>4</v>
      </c>
    </row>
    <row r="10" spans="1:10" ht="29" x14ac:dyDescent="0.35">
      <c r="A10" s="17" t="s">
        <v>88</v>
      </c>
      <c r="B10" s="17" t="s">
        <v>1933</v>
      </c>
      <c r="C10" s="17" t="s">
        <v>1913</v>
      </c>
      <c r="D10" s="17" t="s">
        <v>217</v>
      </c>
      <c r="E10" s="17" t="s">
        <v>1837</v>
      </c>
      <c r="F10" s="17" t="s">
        <v>1934</v>
      </c>
      <c r="G10" s="17" t="s">
        <v>1839</v>
      </c>
      <c r="H10" s="17" t="s">
        <v>1935</v>
      </c>
      <c r="I10" s="51" t="s">
        <v>4</v>
      </c>
    </row>
    <row r="11" spans="1:10" ht="29" x14ac:dyDescent="0.35">
      <c r="A11" s="17" t="s">
        <v>233</v>
      </c>
      <c r="B11" s="17" t="s">
        <v>1936</v>
      </c>
      <c r="C11" s="17" t="s">
        <v>1913</v>
      </c>
      <c r="D11" s="17" t="s">
        <v>432</v>
      </c>
      <c r="E11" s="17" t="s">
        <v>1937</v>
      </c>
      <c r="F11" s="17" t="s">
        <v>1938</v>
      </c>
      <c r="G11" s="17" t="s">
        <v>1939</v>
      </c>
      <c r="H11" s="17" t="s">
        <v>1940</v>
      </c>
      <c r="I11" s="51" t="s">
        <v>4</v>
      </c>
    </row>
    <row r="12" spans="1:10" ht="29" x14ac:dyDescent="0.35">
      <c r="A12" s="17" t="s">
        <v>93</v>
      </c>
      <c r="B12" s="17" t="s">
        <v>1941</v>
      </c>
      <c r="C12" s="17" t="s">
        <v>1913</v>
      </c>
      <c r="D12" s="17" t="s">
        <v>432</v>
      </c>
      <c r="E12" s="17" t="s">
        <v>1942</v>
      </c>
      <c r="F12" s="17" t="s">
        <v>1943</v>
      </c>
      <c r="G12" s="17" t="s">
        <v>1944</v>
      </c>
      <c r="H12" s="17" t="s">
        <v>1945</v>
      </c>
      <c r="I12" s="51" t="s">
        <v>4</v>
      </c>
    </row>
    <row r="13" spans="1:10" ht="29" x14ac:dyDescent="0.35">
      <c r="A13" s="17" t="s">
        <v>98</v>
      </c>
      <c r="B13" s="17" t="s">
        <v>1946</v>
      </c>
      <c r="C13" s="17" t="s">
        <v>1913</v>
      </c>
      <c r="D13" s="17" t="s">
        <v>432</v>
      </c>
      <c r="E13" s="17" t="s">
        <v>1947</v>
      </c>
      <c r="F13" s="17" t="s">
        <v>1948</v>
      </c>
      <c r="G13" s="17" t="s">
        <v>1949</v>
      </c>
      <c r="H13" s="17" t="s">
        <v>1950</v>
      </c>
      <c r="I13" s="51" t="s">
        <v>4</v>
      </c>
    </row>
    <row r="14" spans="1:10" ht="29" x14ac:dyDescent="0.35">
      <c r="A14" s="17" t="s">
        <v>105</v>
      </c>
      <c r="B14" s="17" t="s">
        <v>1951</v>
      </c>
      <c r="C14" s="17" t="s">
        <v>1913</v>
      </c>
      <c r="D14" s="17" t="s">
        <v>1952</v>
      </c>
      <c r="E14" s="17" t="s">
        <v>1953</v>
      </c>
      <c r="F14" s="17" t="s">
        <v>1954</v>
      </c>
      <c r="G14" s="17" t="s">
        <v>1955</v>
      </c>
      <c r="H14" s="17" t="s">
        <v>1956</v>
      </c>
      <c r="I14" s="51" t="s">
        <v>4</v>
      </c>
    </row>
    <row r="15" spans="1:10" ht="29" x14ac:dyDescent="0.35">
      <c r="A15" s="17" t="s">
        <v>113</v>
      </c>
      <c r="B15" s="17" t="s">
        <v>1957</v>
      </c>
      <c r="C15" s="17" t="s">
        <v>1913</v>
      </c>
      <c r="D15" s="17" t="s">
        <v>368</v>
      </c>
      <c r="E15" s="17" t="s">
        <v>1958</v>
      </c>
      <c r="F15" s="17" t="s">
        <v>1959</v>
      </c>
      <c r="G15" s="17" t="s">
        <v>1960</v>
      </c>
      <c r="H15" s="17" t="s">
        <v>1961</v>
      </c>
      <c r="I15" s="51" t="s">
        <v>4</v>
      </c>
    </row>
    <row r="16" spans="1:10" ht="29" x14ac:dyDescent="0.35">
      <c r="A16" s="17" t="s">
        <v>119</v>
      </c>
      <c r="B16" s="17" t="s">
        <v>1962</v>
      </c>
      <c r="C16" s="17" t="s">
        <v>1913</v>
      </c>
      <c r="D16" s="17" t="s">
        <v>1579</v>
      </c>
      <c r="E16" s="17" t="s">
        <v>1963</v>
      </c>
      <c r="F16" s="17" t="s">
        <v>1964</v>
      </c>
      <c r="G16" s="17" t="s">
        <v>1965</v>
      </c>
      <c r="H16" s="17" t="s">
        <v>1966</v>
      </c>
      <c r="I16" s="51" t="s">
        <v>4</v>
      </c>
    </row>
    <row r="17" spans="1:9" x14ac:dyDescent="0.35">
      <c r="A17" s="17" t="s">
        <v>125</v>
      </c>
      <c r="B17" s="17" t="s">
        <v>1967</v>
      </c>
      <c r="C17" s="17" t="s">
        <v>1913</v>
      </c>
      <c r="D17" s="17" t="s">
        <v>1968</v>
      </c>
      <c r="E17" s="17" t="s">
        <v>1859</v>
      </c>
      <c r="F17" s="17" t="s">
        <v>1969</v>
      </c>
      <c r="G17" s="17" t="s">
        <v>1970</v>
      </c>
      <c r="H17" s="17" t="s">
        <v>1971</v>
      </c>
      <c r="I17" s="51" t="s">
        <v>4</v>
      </c>
    </row>
    <row r="18" spans="1:9" ht="29" x14ac:dyDescent="0.35">
      <c r="A18" s="17" t="s">
        <v>132</v>
      </c>
      <c r="B18" s="17" t="s">
        <v>1972</v>
      </c>
      <c r="C18" s="17" t="s">
        <v>1913</v>
      </c>
      <c r="D18" s="17" t="s">
        <v>1968</v>
      </c>
      <c r="E18" s="17" t="s">
        <v>1973</v>
      </c>
      <c r="F18" s="17" t="s">
        <v>1974</v>
      </c>
      <c r="G18" s="40" t="s">
        <v>1975</v>
      </c>
      <c r="H18" s="17" t="s">
        <v>1976</v>
      </c>
      <c r="I18" s="51" t="s">
        <v>4</v>
      </c>
    </row>
    <row r="19" spans="1:9" ht="29" x14ac:dyDescent="0.35">
      <c r="A19" s="17" t="s">
        <v>138</v>
      </c>
      <c r="B19" s="17" t="s">
        <v>1977</v>
      </c>
      <c r="C19" s="17" t="s">
        <v>1913</v>
      </c>
      <c r="D19" s="17" t="s">
        <v>1968</v>
      </c>
      <c r="E19" s="17" t="s">
        <v>1978</v>
      </c>
      <c r="F19" s="17" t="s">
        <v>1979</v>
      </c>
      <c r="G19" s="17" t="s">
        <v>1980</v>
      </c>
      <c r="H19" s="17" t="s">
        <v>1981</v>
      </c>
      <c r="I19" s="51" t="s">
        <v>4</v>
      </c>
    </row>
    <row r="20" spans="1:9" ht="29" x14ac:dyDescent="0.35">
      <c r="A20" s="17" t="s">
        <v>144</v>
      </c>
      <c r="B20" s="17" t="s">
        <v>1982</v>
      </c>
      <c r="C20" s="17" t="s">
        <v>1913</v>
      </c>
      <c r="D20" s="17" t="s">
        <v>1968</v>
      </c>
      <c r="E20" s="17" t="s">
        <v>1983</v>
      </c>
      <c r="F20" s="17" t="s">
        <v>1984</v>
      </c>
      <c r="G20" s="17" t="s">
        <v>1985</v>
      </c>
      <c r="H20" s="17" t="s">
        <v>1986</v>
      </c>
      <c r="I20" s="51" t="s">
        <v>4</v>
      </c>
    </row>
    <row r="21" spans="1:9" ht="29" x14ac:dyDescent="0.35">
      <c r="A21" s="17" t="s">
        <v>150</v>
      </c>
      <c r="B21" s="17" t="s">
        <v>1987</v>
      </c>
      <c r="C21" s="17" t="s">
        <v>1913</v>
      </c>
      <c r="D21" s="17" t="s">
        <v>1968</v>
      </c>
      <c r="E21" s="17" t="s">
        <v>1988</v>
      </c>
      <c r="F21" s="17" t="s">
        <v>1989</v>
      </c>
      <c r="G21" s="40" t="s">
        <v>1990</v>
      </c>
      <c r="H21" s="17" t="s">
        <v>1991</v>
      </c>
      <c r="I21" s="51" t="s">
        <v>4</v>
      </c>
    </row>
    <row r="22" spans="1:9" x14ac:dyDescent="0.35">
      <c r="A22" s="17" t="s">
        <v>157</v>
      </c>
      <c r="B22" s="17" t="s">
        <v>1992</v>
      </c>
      <c r="C22" s="17" t="s">
        <v>1913</v>
      </c>
      <c r="D22" s="17" t="s">
        <v>1968</v>
      </c>
      <c r="E22" s="17" t="s">
        <v>1993</v>
      </c>
      <c r="F22" s="17" t="s">
        <v>303</v>
      </c>
      <c r="G22" s="17" t="s">
        <v>1994</v>
      </c>
      <c r="H22" s="17" t="s">
        <v>1995</v>
      </c>
      <c r="I22" s="51" t="s">
        <v>4</v>
      </c>
    </row>
    <row r="23" spans="1:9" ht="29" x14ac:dyDescent="0.35">
      <c r="A23" s="17" t="s">
        <v>163</v>
      </c>
      <c r="B23" s="17" t="s">
        <v>1996</v>
      </c>
      <c r="C23" s="17" t="s">
        <v>1913</v>
      </c>
      <c r="D23" s="17" t="s">
        <v>1968</v>
      </c>
      <c r="E23" s="17" t="s">
        <v>1930</v>
      </c>
      <c r="F23" s="17" t="s">
        <v>1997</v>
      </c>
      <c r="G23" s="17" t="s">
        <v>1998</v>
      </c>
      <c r="H23" s="17" t="s">
        <v>1999</v>
      </c>
      <c r="I23" s="51" t="s">
        <v>4</v>
      </c>
    </row>
    <row r="24" spans="1:9" ht="29" x14ac:dyDescent="0.35">
      <c r="A24" s="17" t="s">
        <v>299</v>
      </c>
      <c r="B24" s="17" t="s">
        <v>2000</v>
      </c>
      <c r="C24" s="17" t="s">
        <v>1913</v>
      </c>
      <c r="D24" s="17" t="s">
        <v>1896</v>
      </c>
      <c r="E24" s="17" t="s">
        <v>2001</v>
      </c>
      <c r="F24" s="17" t="s">
        <v>2002</v>
      </c>
      <c r="G24" s="17" t="s">
        <v>2003</v>
      </c>
      <c r="H24" s="17" t="s">
        <v>2004</v>
      </c>
      <c r="I24" s="51" t="s">
        <v>4</v>
      </c>
    </row>
    <row r="25" spans="1:9" ht="29" x14ac:dyDescent="0.35">
      <c r="A25" s="17" t="s">
        <v>306</v>
      </c>
      <c r="B25" s="17" t="s">
        <v>2005</v>
      </c>
      <c r="C25" s="17" t="s">
        <v>1913</v>
      </c>
      <c r="D25" s="17" t="s">
        <v>1968</v>
      </c>
      <c r="E25" s="17" t="s">
        <v>2006</v>
      </c>
      <c r="F25" s="17" t="s">
        <v>2007</v>
      </c>
      <c r="G25" s="17" t="s">
        <v>2008</v>
      </c>
      <c r="H25" s="17" t="s">
        <v>2009</v>
      </c>
      <c r="I25" s="51" t="s">
        <v>4</v>
      </c>
    </row>
    <row r="26" spans="1:9" ht="43.5" x14ac:dyDescent="0.35">
      <c r="A26" s="17" t="s">
        <v>312</v>
      </c>
      <c r="B26" s="17" t="s">
        <v>2010</v>
      </c>
      <c r="C26" s="17" t="s">
        <v>1913</v>
      </c>
      <c r="D26" s="17" t="s">
        <v>1901</v>
      </c>
      <c r="E26" s="17" t="s">
        <v>2011</v>
      </c>
      <c r="F26" s="17" t="s">
        <v>1886</v>
      </c>
      <c r="G26" s="17" t="s">
        <v>2012</v>
      </c>
      <c r="H26" s="17" t="s">
        <v>2013</v>
      </c>
      <c r="I26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67" priority="6" operator="containsText" text="Passed">
      <formula>NOT(ISERROR(SEARCH(("Passed"),(G1))))</formula>
    </cfRule>
    <cfRule type="containsText" dxfId="166" priority="7" operator="containsText" text="Failed">
      <formula>NOT(ISERROR(SEARCH(("Failed"),(G1))))</formula>
    </cfRule>
    <cfRule type="containsText" dxfId="165" priority="8" operator="containsText" text="Incomplete">
      <formula>NOT(ISERROR(SEARCH(("Incomplete"),(G1))))</formula>
    </cfRule>
  </conditionalFormatting>
  <conditionalFormatting sqref="I6:I26">
    <cfRule type="containsText" dxfId="164" priority="1" operator="containsText" text="Passed">
      <formula>NOT(ISERROR(SEARCH(("Passed"),(I6))))</formula>
    </cfRule>
    <cfRule type="containsText" dxfId="163" priority="2" operator="containsText" text="Failed">
      <formula>NOT(ISERROR(SEARCH(("Failed"),(I6))))</formula>
    </cfRule>
    <cfRule type="containsText" dxfId="162" priority="3" operator="containsText" text="Bug ok">
      <formula>NOT(ISERROR(SEARCH(("Bug ok"),(I6))))</formula>
    </cfRule>
    <cfRule type="containsText" dxfId="161" priority="4" operator="containsText" text="Blocked">
      <formula>NOT(ISERROR(SEARCH(("Blocked"),(I6))))</formula>
    </cfRule>
    <cfRule type="containsText" dxfId="160" priority="5" operator="containsText" text="Cannot run">
      <formula>NOT(ISERROR(SEARCH(("Cannot run"),(J6))))</formula>
    </cfRule>
  </conditionalFormatting>
  <dataValidations count="1">
    <dataValidation type="list" allowBlank="1" showErrorMessage="1" sqref="I6:I26" xr:uid="{1AB2F9F7-E208-40FE-A955-67E574238604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8D2F-C1A3-4F53-A773-6340594DA4CE}">
  <dimension ref="A1:J37"/>
  <sheetViews>
    <sheetView workbookViewId="0">
      <selection activeCell="H3" sqref="H3"/>
    </sheetView>
  </sheetViews>
  <sheetFormatPr defaultRowHeight="14.5" x14ac:dyDescent="0.35"/>
  <cols>
    <col min="1" max="1" width="38.54296875" customWidth="1"/>
    <col min="2" max="10" width="27.54296875" customWidth="1"/>
  </cols>
  <sheetData>
    <row r="1" spans="1:10" ht="15.5" x14ac:dyDescent="0.35">
      <c r="A1" s="76"/>
      <c r="B1" s="85" t="s">
        <v>2</v>
      </c>
      <c r="C1" s="78"/>
      <c r="D1" s="86" t="s">
        <v>2014</v>
      </c>
      <c r="E1" s="80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COUNTIF(A1:A100,"TC-??")</f>
        <v>9</v>
      </c>
      <c r="H2" s="14">
        <f>COUNTIF(I4:I844,"Đạt")</f>
        <v>9</v>
      </c>
      <c r="I2" s="6">
        <f>COUNTIF(G4:G848,"Không Đạt")</f>
        <v>0</v>
      </c>
      <c r="J2" s="6">
        <f>COUNTIF(G4:G848,"Chưa Xong")</f>
        <v>0</v>
      </c>
    </row>
    <row r="3" spans="1:10" ht="18" x14ac:dyDescent="0.35">
      <c r="A3" s="76"/>
      <c r="B3" s="85" t="s">
        <v>55</v>
      </c>
      <c r="C3" s="78"/>
      <c r="D3" s="88">
        <v>46002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72.5" x14ac:dyDescent="0.35">
      <c r="A6" s="17" t="s">
        <v>65</v>
      </c>
      <c r="B6" s="17" t="s">
        <v>2015</v>
      </c>
      <c r="C6" s="17" t="s">
        <v>1913</v>
      </c>
      <c r="D6" s="17" t="s">
        <v>2016</v>
      </c>
      <c r="E6" s="17" t="s">
        <v>2017</v>
      </c>
      <c r="F6" s="17" t="s">
        <v>2018</v>
      </c>
      <c r="G6" s="17" t="s">
        <v>2019</v>
      </c>
      <c r="H6" s="17" t="s">
        <v>2020</v>
      </c>
      <c r="I6" s="51" t="s">
        <v>4</v>
      </c>
    </row>
    <row r="7" spans="1:10" ht="43.5" x14ac:dyDescent="0.35">
      <c r="A7" s="17" t="s">
        <v>72</v>
      </c>
      <c r="B7" s="17" t="s">
        <v>2021</v>
      </c>
      <c r="C7" s="17" t="s">
        <v>1913</v>
      </c>
      <c r="D7" s="17" t="s">
        <v>2022</v>
      </c>
      <c r="E7" s="17" t="s">
        <v>2023</v>
      </c>
      <c r="F7" s="17" t="s">
        <v>2024</v>
      </c>
      <c r="G7" s="17" t="s">
        <v>2025</v>
      </c>
      <c r="H7" s="17" t="s">
        <v>2026</v>
      </c>
      <c r="I7" s="51" t="s">
        <v>4</v>
      </c>
    </row>
    <row r="8" spans="1:10" ht="43.5" x14ac:dyDescent="0.35">
      <c r="A8" s="17" t="s">
        <v>77</v>
      </c>
      <c r="B8" s="17" t="s">
        <v>2027</v>
      </c>
      <c r="C8" s="17" t="s">
        <v>1913</v>
      </c>
      <c r="D8" s="17" t="s">
        <v>2028</v>
      </c>
      <c r="E8" s="17" t="s">
        <v>2023</v>
      </c>
      <c r="F8" s="17" t="s">
        <v>2029</v>
      </c>
      <c r="G8" s="17" t="s">
        <v>2030</v>
      </c>
      <c r="H8" s="17" t="s">
        <v>2031</v>
      </c>
      <c r="I8" s="51" t="s">
        <v>4</v>
      </c>
    </row>
    <row r="9" spans="1:10" ht="72.5" x14ac:dyDescent="0.35">
      <c r="A9" s="17" t="s">
        <v>83</v>
      </c>
      <c r="B9" s="17" t="s">
        <v>2032</v>
      </c>
      <c r="C9" s="17" t="s">
        <v>2033</v>
      </c>
      <c r="D9" s="17" t="s">
        <v>2034</v>
      </c>
      <c r="E9" s="17" t="s">
        <v>2035</v>
      </c>
      <c r="F9" s="17" t="s">
        <v>2036</v>
      </c>
      <c r="G9" s="17" t="s">
        <v>2037</v>
      </c>
      <c r="H9" s="17" t="s">
        <v>2038</v>
      </c>
      <c r="I9" s="51" t="s">
        <v>4</v>
      </c>
    </row>
    <row r="10" spans="1:10" ht="72.5" x14ac:dyDescent="0.35">
      <c r="A10" s="17" t="s">
        <v>88</v>
      </c>
      <c r="B10" s="17" t="s">
        <v>2039</v>
      </c>
      <c r="C10" s="17" t="s">
        <v>2033</v>
      </c>
      <c r="D10" s="17" t="s">
        <v>2040</v>
      </c>
      <c r="E10" s="17" t="s">
        <v>2041</v>
      </c>
      <c r="F10" s="17" t="s">
        <v>2042</v>
      </c>
      <c r="G10" s="17" t="s">
        <v>2043</v>
      </c>
      <c r="H10" s="17" t="s">
        <v>2044</v>
      </c>
      <c r="I10" s="51" t="s">
        <v>4</v>
      </c>
    </row>
    <row r="11" spans="1:10" ht="43.5" x14ac:dyDescent="0.35">
      <c r="A11" s="17" t="s">
        <v>233</v>
      </c>
      <c r="B11" s="17" t="s">
        <v>2045</v>
      </c>
      <c r="C11" s="17" t="s">
        <v>2033</v>
      </c>
      <c r="D11" s="17" t="s">
        <v>2046</v>
      </c>
      <c r="E11" s="17" t="s">
        <v>2047</v>
      </c>
      <c r="F11" s="17" t="s">
        <v>2048</v>
      </c>
      <c r="G11" s="17" t="s">
        <v>2049</v>
      </c>
      <c r="H11" s="17" t="s">
        <v>2050</v>
      </c>
      <c r="I11" s="51" t="s">
        <v>4</v>
      </c>
    </row>
    <row r="12" spans="1:10" ht="43.5" x14ac:dyDescent="0.35">
      <c r="A12" s="17" t="s">
        <v>93</v>
      </c>
      <c r="B12" s="17" t="s">
        <v>2051</v>
      </c>
      <c r="C12" s="17" t="s">
        <v>2033</v>
      </c>
      <c r="D12" s="17" t="s">
        <v>2052</v>
      </c>
      <c r="E12" s="17" t="s">
        <v>616</v>
      </c>
      <c r="F12" s="17" t="s">
        <v>2053</v>
      </c>
      <c r="G12" s="17" t="s">
        <v>2054</v>
      </c>
      <c r="H12" s="17" t="s">
        <v>2055</v>
      </c>
      <c r="I12" s="51" t="s">
        <v>4</v>
      </c>
    </row>
    <row r="13" spans="1:10" ht="43.5" x14ac:dyDescent="0.35">
      <c r="A13" s="17" t="s">
        <v>98</v>
      </c>
      <c r="B13" s="17" t="s">
        <v>2056</v>
      </c>
      <c r="C13" s="17" t="s">
        <v>1913</v>
      </c>
      <c r="D13" s="17" t="s">
        <v>2057</v>
      </c>
      <c r="E13" s="17" t="s">
        <v>2058</v>
      </c>
      <c r="F13" s="17" t="s">
        <v>2059</v>
      </c>
      <c r="G13" s="17" t="s">
        <v>2060</v>
      </c>
      <c r="H13" s="17" t="s">
        <v>2061</v>
      </c>
      <c r="I13" s="51" t="s">
        <v>4</v>
      </c>
    </row>
    <row r="14" spans="1:10" ht="43.5" x14ac:dyDescent="0.35">
      <c r="A14" s="17" t="s">
        <v>105</v>
      </c>
      <c r="B14" s="17" t="s">
        <v>2062</v>
      </c>
      <c r="C14" s="17" t="s">
        <v>2033</v>
      </c>
      <c r="D14" s="17" t="s">
        <v>1481</v>
      </c>
      <c r="E14" s="17" t="s">
        <v>2047</v>
      </c>
      <c r="F14" s="17" t="s">
        <v>2063</v>
      </c>
      <c r="G14" s="17" t="s">
        <v>2064</v>
      </c>
      <c r="H14" s="17" t="s">
        <v>2065</v>
      </c>
      <c r="I14" s="51" t="s">
        <v>4</v>
      </c>
    </row>
    <row r="15" spans="1:10" x14ac:dyDescent="0.35">
      <c r="A15" s="17"/>
      <c r="B15" s="17"/>
      <c r="C15" s="17"/>
      <c r="D15" s="17"/>
      <c r="E15" s="17"/>
      <c r="F15" s="17"/>
      <c r="G15" s="17"/>
      <c r="H15" s="17"/>
    </row>
    <row r="16" spans="1:10" x14ac:dyDescent="0.35">
      <c r="A16" s="17"/>
      <c r="B16" s="17"/>
      <c r="C16" s="17"/>
      <c r="D16" s="17"/>
      <c r="E16" s="17"/>
      <c r="F16" s="17"/>
      <c r="G16" s="17"/>
      <c r="H16" s="17"/>
    </row>
    <row r="17" spans="1:8" x14ac:dyDescent="0.35">
      <c r="A17" s="17"/>
      <c r="B17" s="17"/>
      <c r="C17" s="17"/>
      <c r="D17" s="17"/>
      <c r="E17" s="17"/>
      <c r="F17" s="17"/>
      <c r="G17" s="17"/>
      <c r="H17" s="17"/>
    </row>
    <row r="18" spans="1:8" x14ac:dyDescent="0.35">
      <c r="A18" s="17"/>
      <c r="B18" s="17"/>
      <c r="C18" s="17"/>
      <c r="D18" s="17"/>
      <c r="E18" s="17"/>
      <c r="F18" s="17"/>
      <c r="G18" s="17"/>
      <c r="H18" s="17"/>
    </row>
    <row r="19" spans="1:8" x14ac:dyDescent="0.35">
      <c r="A19" s="17"/>
      <c r="B19" s="17"/>
      <c r="C19" s="17"/>
      <c r="D19" s="17"/>
      <c r="E19" s="17"/>
      <c r="F19" s="17"/>
      <c r="G19" s="17"/>
      <c r="H19" s="17"/>
    </row>
    <row r="20" spans="1:8" x14ac:dyDescent="0.35">
      <c r="A20" s="17"/>
      <c r="B20" s="17"/>
      <c r="C20" s="17"/>
      <c r="D20" s="17"/>
      <c r="E20" s="17"/>
      <c r="F20" s="17"/>
      <c r="G20" s="17"/>
      <c r="H20" s="17"/>
    </row>
    <row r="21" spans="1:8" x14ac:dyDescent="0.35">
      <c r="A21" s="17"/>
      <c r="B21" s="17"/>
      <c r="C21" s="17"/>
      <c r="D21" s="17"/>
      <c r="E21" s="17"/>
      <c r="F21" s="17"/>
      <c r="G21" s="17"/>
      <c r="H21" s="17"/>
    </row>
    <row r="22" spans="1:8" x14ac:dyDescent="0.35">
      <c r="A22" s="17"/>
      <c r="B22" s="17"/>
      <c r="C22" s="17"/>
      <c r="D22" s="17"/>
      <c r="E22" s="17"/>
      <c r="F22" s="17"/>
      <c r="G22" s="17"/>
      <c r="H22" s="17"/>
    </row>
    <row r="23" spans="1:8" x14ac:dyDescent="0.35">
      <c r="A23" s="17"/>
      <c r="B23" s="17"/>
      <c r="C23" s="17"/>
      <c r="D23" s="17"/>
      <c r="E23" s="17"/>
      <c r="F23" s="17"/>
      <c r="G23" s="17"/>
      <c r="H23" s="17"/>
    </row>
    <row r="24" spans="1:8" x14ac:dyDescent="0.35">
      <c r="A24" s="17"/>
      <c r="B24" s="17"/>
      <c r="C24" s="17"/>
      <c r="D24" s="17"/>
      <c r="E24" s="17"/>
      <c r="F24" s="17"/>
      <c r="G24" s="17"/>
      <c r="H24" s="17"/>
    </row>
    <row r="25" spans="1:8" x14ac:dyDescent="0.35">
      <c r="A25" s="17"/>
      <c r="B25" s="17"/>
      <c r="C25" s="17"/>
      <c r="D25" s="17"/>
      <c r="E25" s="17"/>
      <c r="F25" s="17"/>
      <c r="G25" s="17"/>
      <c r="H25" s="17"/>
    </row>
    <row r="26" spans="1:8" x14ac:dyDescent="0.35">
      <c r="A26" s="17"/>
      <c r="B26" s="17"/>
      <c r="C26" s="17"/>
      <c r="D26" s="17"/>
      <c r="E26" s="17"/>
      <c r="F26" s="17"/>
      <c r="G26" s="17"/>
      <c r="H26" s="17"/>
    </row>
    <row r="27" spans="1:8" x14ac:dyDescent="0.35">
      <c r="A27" s="17"/>
      <c r="B27" s="17"/>
      <c r="C27" s="17"/>
      <c r="D27" s="17"/>
      <c r="E27" s="17"/>
      <c r="F27" s="17"/>
      <c r="G27" s="17"/>
      <c r="H27" s="17"/>
    </row>
    <row r="28" spans="1:8" x14ac:dyDescent="0.35">
      <c r="A28" s="17"/>
      <c r="B28" s="17"/>
      <c r="C28" s="17"/>
      <c r="D28" s="17"/>
      <c r="E28" s="17"/>
      <c r="F28" s="17"/>
      <c r="G28" s="17"/>
      <c r="H28" s="17"/>
    </row>
    <row r="29" spans="1:8" x14ac:dyDescent="0.35">
      <c r="A29" s="17"/>
      <c r="B29" s="17"/>
      <c r="C29" s="17"/>
      <c r="D29" s="17"/>
      <c r="E29" s="17"/>
      <c r="F29" s="17"/>
      <c r="G29" s="17"/>
      <c r="H29" s="17"/>
    </row>
    <row r="30" spans="1:8" x14ac:dyDescent="0.35">
      <c r="A30" s="17"/>
      <c r="B30" s="17"/>
      <c r="C30" s="17"/>
      <c r="D30" s="17"/>
      <c r="E30" s="17"/>
      <c r="F30" s="17"/>
      <c r="G30" s="17"/>
      <c r="H30" s="17"/>
    </row>
    <row r="31" spans="1:8" x14ac:dyDescent="0.35">
      <c r="A31" s="17"/>
      <c r="B31" s="17"/>
      <c r="C31" s="17"/>
      <c r="D31" s="17"/>
      <c r="E31" s="17"/>
      <c r="F31" s="17"/>
      <c r="G31" s="17"/>
      <c r="H31" s="17"/>
    </row>
    <row r="32" spans="1:8" x14ac:dyDescent="0.35">
      <c r="A32" s="17"/>
      <c r="B32" s="17"/>
      <c r="C32" s="17"/>
      <c r="D32" s="17"/>
      <c r="E32" s="17"/>
      <c r="F32" s="17"/>
      <c r="G32" s="17"/>
      <c r="H32" s="17"/>
    </row>
    <row r="33" spans="1:8" x14ac:dyDescent="0.35">
      <c r="A33" s="17"/>
      <c r="B33" s="17"/>
      <c r="C33" s="17"/>
      <c r="D33" s="17"/>
      <c r="E33" s="17"/>
      <c r="F33" s="17"/>
      <c r="G33" s="17"/>
      <c r="H33" s="17"/>
    </row>
    <row r="34" spans="1:8" x14ac:dyDescent="0.35">
      <c r="A34" s="17"/>
      <c r="B34" s="17"/>
      <c r="C34" s="17"/>
      <c r="D34" s="17"/>
      <c r="E34" s="17"/>
      <c r="F34" s="17"/>
      <c r="G34" s="17"/>
      <c r="H34" s="17"/>
    </row>
    <row r="35" spans="1:8" x14ac:dyDescent="0.35">
      <c r="A35" s="17"/>
      <c r="B35" s="17"/>
      <c r="C35" s="17"/>
      <c r="D35" s="17"/>
      <c r="E35" s="17"/>
      <c r="F35" s="17"/>
      <c r="G35" s="17"/>
      <c r="H35" s="17"/>
    </row>
    <row r="36" spans="1:8" x14ac:dyDescent="0.35">
      <c r="A36" s="17"/>
      <c r="B36" s="17"/>
      <c r="C36" s="17"/>
      <c r="D36" s="17"/>
      <c r="E36" s="17"/>
      <c r="F36" s="17"/>
      <c r="G36" s="17"/>
      <c r="H36" s="17"/>
    </row>
    <row r="37" spans="1:8" x14ac:dyDescent="0.35">
      <c r="A37" s="17"/>
      <c r="B37" s="17"/>
      <c r="C37" s="17"/>
      <c r="D37" s="17"/>
      <c r="E37" s="17"/>
      <c r="F37" s="17"/>
      <c r="G37" s="17"/>
      <c r="H37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59" priority="6" operator="containsText" text="Passed">
      <formula>NOT(ISERROR(SEARCH(("Passed"),(G1))))</formula>
    </cfRule>
    <cfRule type="containsText" dxfId="158" priority="7" operator="containsText" text="Failed">
      <formula>NOT(ISERROR(SEARCH(("Failed"),(G1))))</formula>
    </cfRule>
    <cfRule type="containsText" dxfId="157" priority="8" operator="containsText" text="Incomplete">
      <formula>NOT(ISERROR(SEARCH(("Incomplete"),(G1))))</formula>
    </cfRule>
  </conditionalFormatting>
  <conditionalFormatting sqref="I6:I14">
    <cfRule type="containsText" dxfId="156" priority="1" operator="containsText" text="Passed">
      <formula>NOT(ISERROR(SEARCH(("Passed"),(I6))))</formula>
    </cfRule>
    <cfRule type="containsText" dxfId="155" priority="2" operator="containsText" text="Failed">
      <formula>NOT(ISERROR(SEARCH(("Failed"),(I6))))</formula>
    </cfRule>
    <cfRule type="containsText" dxfId="154" priority="3" operator="containsText" text="Bug ok">
      <formula>NOT(ISERROR(SEARCH(("Bug ok"),(I6))))</formula>
    </cfRule>
    <cfRule type="containsText" dxfId="153" priority="4" operator="containsText" text="Blocked">
      <formula>NOT(ISERROR(SEARCH(("Blocked"),(I6))))</formula>
    </cfRule>
    <cfRule type="containsText" dxfId="152" priority="5" operator="containsText" text="Cannot run">
      <formula>NOT(ISERROR(SEARCH(("Cannot run"),(J6))))</formula>
    </cfRule>
  </conditionalFormatting>
  <dataValidations count="1">
    <dataValidation type="list" allowBlank="1" showErrorMessage="1" sqref="I6:I14" xr:uid="{D8FA8F0A-E9E3-487D-B138-6497C8495552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8EA2-FCAA-4751-9E53-7397BCA4D908}">
  <dimension ref="A1:J36"/>
  <sheetViews>
    <sheetView workbookViewId="0">
      <selection activeCell="H3" sqref="H3"/>
    </sheetView>
  </sheetViews>
  <sheetFormatPr defaultRowHeight="14.5" x14ac:dyDescent="0.35"/>
  <cols>
    <col min="1" max="1" width="38.453125" customWidth="1"/>
    <col min="2" max="10" width="27.7265625" customWidth="1"/>
  </cols>
  <sheetData>
    <row r="1" spans="1:10" ht="30.75" customHeight="1" x14ac:dyDescent="0.35">
      <c r="A1" s="76"/>
      <c r="B1" s="85" t="s">
        <v>2</v>
      </c>
      <c r="C1" s="78"/>
      <c r="D1" s="79" t="s">
        <v>2066</v>
      </c>
      <c r="E1" s="101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COUNTIF(A1:A210,"TC-??")</f>
        <v>12</v>
      </c>
      <c r="H2" s="14">
        <f>COUNTIF(I4:I844,"Đạt")</f>
        <v>12</v>
      </c>
      <c r="I2" s="6">
        <f>COUNTIF(G4:G872,"Không Đạt")</f>
        <v>0</v>
      </c>
      <c r="J2" s="6">
        <f>COUNTIF(G4:G872,"Chưa Xong")</f>
        <v>0</v>
      </c>
    </row>
    <row r="3" spans="1:10" ht="18" x14ac:dyDescent="0.35">
      <c r="A3" s="76"/>
      <c r="B3" s="85" t="s">
        <v>55</v>
      </c>
      <c r="C3" s="78"/>
      <c r="D3" s="88">
        <v>46002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58" x14ac:dyDescent="0.35">
      <c r="A6" s="17" t="s">
        <v>65</v>
      </c>
      <c r="B6" s="17" t="s">
        <v>2067</v>
      </c>
      <c r="C6" s="17" t="s">
        <v>1913</v>
      </c>
      <c r="D6" s="17" t="s">
        <v>2068</v>
      </c>
      <c r="E6" s="17" t="s">
        <v>2069</v>
      </c>
      <c r="F6" s="17" t="s">
        <v>2070</v>
      </c>
      <c r="G6" s="17" t="s">
        <v>2071</v>
      </c>
      <c r="H6" s="17" t="s">
        <v>2072</v>
      </c>
      <c r="I6" s="51" t="s">
        <v>4</v>
      </c>
    </row>
    <row r="7" spans="1:10" ht="43.5" x14ac:dyDescent="0.35">
      <c r="A7" s="17" t="s">
        <v>72</v>
      </c>
      <c r="B7" s="17" t="s">
        <v>2073</v>
      </c>
      <c r="C7" s="17" t="s">
        <v>1913</v>
      </c>
      <c r="D7" s="17" t="s">
        <v>2034</v>
      </c>
      <c r="E7" s="17" t="s">
        <v>2074</v>
      </c>
      <c r="F7" s="17" t="s">
        <v>2075</v>
      </c>
      <c r="G7" s="17" t="s">
        <v>2076</v>
      </c>
      <c r="H7" s="17" t="s">
        <v>2077</v>
      </c>
      <c r="I7" s="51" t="s">
        <v>4</v>
      </c>
    </row>
    <row r="8" spans="1:10" ht="43.5" x14ac:dyDescent="0.35">
      <c r="A8" s="17" t="s">
        <v>77</v>
      </c>
      <c r="B8" s="17" t="s">
        <v>2078</v>
      </c>
      <c r="C8" s="17" t="s">
        <v>1913</v>
      </c>
      <c r="D8" s="17" t="s">
        <v>2057</v>
      </c>
      <c r="E8" s="17" t="s">
        <v>2074</v>
      </c>
      <c r="F8" s="17" t="s">
        <v>2079</v>
      </c>
      <c r="G8" s="17" t="s">
        <v>2080</v>
      </c>
      <c r="H8" s="17" t="s">
        <v>2081</v>
      </c>
      <c r="I8" s="51" t="s">
        <v>4</v>
      </c>
    </row>
    <row r="9" spans="1:10" ht="43.5" x14ac:dyDescent="0.35">
      <c r="A9" s="17" t="s">
        <v>83</v>
      </c>
      <c r="B9" s="17" t="s">
        <v>2082</v>
      </c>
      <c r="C9" s="17" t="s">
        <v>1913</v>
      </c>
      <c r="D9" s="17" t="s">
        <v>2083</v>
      </c>
      <c r="E9" s="17" t="s">
        <v>2084</v>
      </c>
      <c r="F9" s="17" t="s">
        <v>2085</v>
      </c>
      <c r="G9" s="17" t="s">
        <v>2086</v>
      </c>
      <c r="H9" s="17" t="s">
        <v>2087</v>
      </c>
      <c r="I9" s="51" t="s">
        <v>4</v>
      </c>
    </row>
    <row r="10" spans="1:10" ht="43.5" x14ac:dyDescent="0.35">
      <c r="A10" s="17" t="s">
        <v>88</v>
      </c>
      <c r="B10" s="17" t="s">
        <v>2088</v>
      </c>
      <c r="C10" s="17" t="s">
        <v>1913</v>
      </c>
      <c r="D10" s="17" t="s">
        <v>2089</v>
      </c>
      <c r="E10" s="17" t="s">
        <v>2090</v>
      </c>
      <c r="F10" s="17" t="s">
        <v>2091</v>
      </c>
      <c r="G10" s="17" t="s">
        <v>2092</v>
      </c>
      <c r="H10" s="17" t="s">
        <v>2093</v>
      </c>
      <c r="I10" s="51" t="s">
        <v>4</v>
      </c>
    </row>
    <row r="11" spans="1:10" ht="43.5" x14ac:dyDescent="0.35">
      <c r="A11" s="17" t="s">
        <v>233</v>
      </c>
      <c r="B11" s="17" t="s">
        <v>2094</v>
      </c>
      <c r="C11" s="17" t="s">
        <v>1913</v>
      </c>
      <c r="D11" s="17" t="s">
        <v>2095</v>
      </c>
      <c r="E11" s="17" t="s">
        <v>2096</v>
      </c>
      <c r="F11" s="17" t="s">
        <v>2097</v>
      </c>
      <c r="G11" s="17" t="s">
        <v>2098</v>
      </c>
      <c r="H11" s="17" t="s">
        <v>2099</v>
      </c>
      <c r="I11" s="51" t="s">
        <v>4</v>
      </c>
    </row>
    <row r="12" spans="1:10" ht="43.5" x14ac:dyDescent="0.35">
      <c r="A12" s="17" t="s">
        <v>93</v>
      </c>
      <c r="B12" s="17" t="s">
        <v>2100</v>
      </c>
      <c r="C12" s="17" t="s">
        <v>1913</v>
      </c>
      <c r="D12" s="17" t="s">
        <v>1387</v>
      </c>
      <c r="E12" s="17" t="s">
        <v>2101</v>
      </c>
      <c r="F12" s="17" t="s">
        <v>2102</v>
      </c>
      <c r="G12" s="17" t="s">
        <v>2103</v>
      </c>
      <c r="H12" s="17" t="s">
        <v>2104</v>
      </c>
      <c r="I12" s="51" t="s">
        <v>4</v>
      </c>
    </row>
    <row r="13" spans="1:10" ht="43.5" x14ac:dyDescent="0.35">
      <c r="A13" s="17" t="s">
        <v>98</v>
      </c>
      <c r="B13" s="17" t="s">
        <v>2105</v>
      </c>
      <c r="C13" s="17" t="s">
        <v>1913</v>
      </c>
      <c r="D13" s="17" t="s">
        <v>315</v>
      </c>
      <c r="E13" s="17" t="s">
        <v>2106</v>
      </c>
      <c r="F13" s="17" t="s">
        <v>2107</v>
      </c>
      <c r="G13" s="17" t="s">
        <v>2108</v>
      </c>
      <c r="H13" s="17" t="s">
        <v>2109</v>
      </c>
      <c r="I13" s="51" t="s">
        <v>4</v>
      </c>
    </row>
    <row r="14" spans="1:10" ht="43.5" x14ac:dyDescent="0.35">
      <c r="A14" s="17" t="s">
        <v>105</v>
      </c>
      <c r="B14" s="17" t="s">
        <v>2110</v>
      </c>
      <c r="C14" s="17" t="s">
        <v>1579</v>
      </c>
      <c r="D14" s="17" t="s">
        <v>2111</v>
      </c>
      <c r="E14" s="17" t="s">
        <v>2112</v>
      </c>
      <c r="F14" s="17" t="s">
        <v>2113</v>
      </c>
      <c r="G14" s="17" t="s">
        <v>2114</v>
      </c>
      <c r="H14" s="17" t="s">
        <v>2115</v>
      </c>
      <c r="I14" s="51" t="s">
        <v>4</v>
      </c>
    </row>
    <row r="15" spans="1:10" ht="43.5" x14ac:dyDescent="0.35">
      <c r="A15" s="17" t="s">
        <v>113</v>
      </c>
      <c r="B15" s="17" t="s">
        <v>2116</v>
      </c>
      <c r="C15" s="17" t="s">
        <v>1579</v>
      </c>
      <c r="D15" s="17" t="s">
        <v>2117</v>
      </c>
      <c r="E15" s="17" t="s">
        <v>2118</v>
      </c>
      <c r="F15" s="17" t="s">
        <v>2119</v>
      </c>
      <c r="G15" s="17" t="s">
        <v>2120</v>
      </c>
      <c r="H15" s="17" t="s">
        <v>2121</v>
      </c>
      <c r="I15" s="51" t="s">
        <v>4</v>
      </c>
    </row>
    <row r="16" spans="1:10" ht="43.5" x14ac:dyDescent="0.35">
      <c r="A16" s="17" t="s">
        <v>119</v>
      </c>
      <c r="B16" s="17" t="s">
        <v>2122</v>
      </c>
      <c r="C16" s="17" t="s">
        <v>1913</v>
      </c>
      <c r="D16" s="17" t="s">
        <v>1481</v>
      </c>
      <c r="E16" s="17" t="s">
        <v>2123</v>
      </c>
      <c r="F16" s="17" t="s">
        <v>2124</v>
      </c>
      <c r="G16" s="17" t="s">
        <v>2125</v>
      </c>
      <c r="H16" s="17" t="s">
        <v>2126</v>
      </c>
      <c r="I16" s="51" t="s">
        <v>4</v>
      </c>
    </row>
    <row r="17" spans="1:9" ht="58" x14ac:dyDescent="0.35">
      <c r="A17" s="17" t="s">
        <v>125</v>
      </c>
      <c r="B17" s="17" t="s">
        <v>2127</v>
      </c>
      <c r="C17" s="17" t="s">
        <v>2128</v>
      </c>
      <c r="D17" s="17" t="s">
        <v>2129</v>
      </c>
      <c r="E17" s="17" t="s">
        <v>2130</v>
      </c>
      <c r="F17" s="17" t="s">
        <v>2131</v>
      </c>
      <c r="G17" s="17" t="s">
        <v>2132</v>
      </c>
      <c r="H17" s="17" t="s">
        <v>2133</v>
      </c>
      <c r="I17" s="51" t="s">
        <v>4</v>
      </c>
    </row>
    <row r="18" spans="1:9" x14ac:dyDescent="0.35">
      <c r="A18" s="17"/>
      <c r="B18" s="17"/>
      <c r="C18" s="17"/>
      <c r="D18" s="17"/>
      <c r="E18" s="17"/>
      <c r="F18" s="17"/>
      <c r="G18" s="17"/>
      <c r="H18" s="17"/>
    </row>
    <row r="19" spans="1:9" x14ac:dyDescent="0.35">
      <c r="A19" s="17"/>
      <c r="B19" s="17"/>
      <c r="C19" s="17"/>
      <c r="D19" s="17"/>
      <c r="E19" s="17"/>
      <c r="F19" s="17"/>
      <c r="G19" s="17"/>
      <c r="H19" s="17"/>
    </row>
    <row r="20" spans="1:9" x14ac:dyDescent="0.35">
      <c r="A20" s="17"/>
      <c r="B20" s="17"/>
      <c r="C20" s="17"/>
      <c r="D20" s="17"/>
      <c r="E20" s="17"/>
      <c r="F20" s="17"/>
      <c r="G20" s="17"/>
      <c r="H20" s="17"/>
    </row>
    <row r="21" spans="1:9" x14ac:dyDescent="0.35">
      <c r="A21" s="17"/>
      <c r="B21" s="17"/>
      <c r="C21" s="17"/>
      <c r="D21" s="17"/>
      <c r="E21" s="17"/>
      <c r="F21" s="17"/>
      <c r="G21" s="17"/>
      <c r="H21" s="17"/>
    </row>
    <row r="22" spans="1:9" x14ac:dyDescent="0.35">
      <c r="A22" s="17"/>
      <c r="B22" s="17"/>
      <c r="C22" s="17"/>
      <c r="D22" s="17"/>
      <c r="E22" s="17"/>
      <c r="F22" s="17"/>
      <c r="G22" s="17"/>
      <c r="H22" s="17"/>
    </row>
    <row r="23" spans="1:9" x14ac:dyDescent="0.35">
      <c r="A23" s="17"/>
      <c r="B23" s="17"/>
      <c r="C23" s="17"/>
      <c r="D23" s="17"/>
      <c r="E23" s="17"/>
      <c r="F23" s="17"/>
      <c r="G23" s="17"/>
      <c r="H23" s="17"/>
    </row>
    <row r="24" spans="1:9" x14ac:dyDescent="0.35">
      <c r="A24" s="17"/>
      <c r="B24" s="17"/>
      <c r="C24" s="17"/>
      <c r="D24" s="17"/>
      <c r="E24" s="17"/>
      <c r="F24" s="17"/>
      <c r="G24" s="17"/>
      <c r="H24" s="17"/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  <row r="26" spans="1:9" x14ac:dyDescent="0.35">
      <c r="A26" s="17"/>
      <c r="B26" s="17"/>
      <c r="C26" s="17"/>
      <c r="D26" s="17"/>
      <c r="E26" s="17"/>
      <c r="F26" s="17"/>
      <c r="G26" s="17"/>
      <c r="H26" s="17"/>
    </row>
    <row r="27" spans="1:9" x14ac:dyDescent="0.35">
      <c r="A27" s="17"/>
      <c r="B27" s="17"/>
      <c r="C27" s="17"/>
      <c r="D27" s="17"/>
      <c r="E27" s="17"/>
      <c r="F27" s="17"/>
      <c r="G27" s="17"/>
      <c r="H27" s="17"/>
    </row>
    <row r="28" spans="1:9" x14ac:dyDescent="0.35">
      <c r="A28" s="17"/>
      <c r="B28" s="17"/>
      <c r="C28" s="17"/>
      <c r="D28" s="17"/>
      <c r="E28" s="17"/>
      <c r="F28" s="17"/>
      <c r="G28" s="17"/>
      <c r="H28" s="17"/>
    </row>
    <row r="29" spans="1:9" x14ac:dyDescent="0.35">
      <c r="A29" s="17"/>
      <c r="B29" s="17"/>
      <c r="C29" s="17"/>
      <c r="D29" s="17"/>
      <c r="E29" s="17"/>
      <c r="F29" s="17"/>
      <c r="G29" s="17"/>
      <c r="H29" s="17"/>
    </row>
    <row r="30" spans="1:9" x14ac:dyDescent="0.35">
      <c r="A30" s="17"/>
      <c r="B30" s="17"/>
      <c r="C30" s="17"/>
      <c r="D30" s="17"/>
      <c r="E30" s="17"/>
      <c r="F30" s="17"/>
      <c r="G30" s="17"/>
      <c r="H30" s="17"/>
    </row>
    <row r="31" spans="1:9" x14ac:dyDescent="0.35">
      <c r="A31" s="17"/>
      <c r="B31" s="17"/>
      <c r="C31" s="17"/>
      <c r="D31" s="17"/>
      <c r="E31" s="17"/>
      <c r="F31" s="17"/>
      <c r="G31" s="17"/>
      <c r="H31" s="17"/>
    </row>
    <row r="32" spans="1:9" x14ac:dyDescent="0.35">
      <c r="A32" s="17"/>
      <c r="B32" s="17"/>
      <c r="C32" s="17"/>
      <c r="D32" s="17"/>
      <c r="E32" s="17"/>
      <c r="F32" s="17"/>
      <c r="G32" s="17"/>
      <c r="H32" s="17"/>
    </row>
    <row r="33" spans="1:8" x14ac:dyDescent="0.35">
      <c r="A33" s="17"/>
      <c r="B33" s="17"/>
      <c r="C33" s="17"/>
      <c r="D33" s="17"/>
      <c r="E33" s="17"/>
      <c r="F33" s="17"/>
      <c r="G33" s="17"/>
      <c r="H33" s="17"/>
    </row>
    <row r="34" spans="1:8" x14ac:dyDescent="0.35">
      <c r="A34" s="17"/>
      <c r="B34" s="17"/>
      <c r="C34" s="17"/>
      <c r="D34" s="17"/>
      <c r="E34" s="17"/>
      <c r="F34" s="17"/>
      <c r="G34" s="17"/>
      <c r="H34" s="17"/>
    </row>
    <row r="35" spans="1:8" x14ac:dyDescent="0.35">
      <c r="A35" s="17"/>
      <c r="B35" s="17"/>
      <c r="C35" s="17"/>
      <c r="D35" s="17"/>
      <c r="E35" s="17"/>
      <c r="F35" s="17"/>
      <c r="G35" s="17"/>
      <c r="H35" s="17"/>
    </row>
    <row r="36" spans="1:8" x14ac:dyDescent="0.35">
      <c r="A36" s="17"/>
      <c r="B36" s="17"/>
      <c r="C36" s="17"/>
      <c r="D36" s="17"/>
      <c r="E36" s="17"/>
      <c r="F36" s="17"/>
      <c r="G36" s="17"/>
      <c r="H36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51" priority="6" operator="containsText" text="Passed">
      <formula>NOT(ISERROR(SEARCH(("Passed"),(G1))))</formula>
    </cfRule>
    <cfRule type="containsText" dxfId="150" priority="7" operator="containsText" text="Failed">
      <formula>NOT(ISERROR(SEARCH(("Failed"),(G1))))</formula>
    </cfRule>
    <cfRule type="containsText" dxfId="149" priority="8" operator="containsText" text="Incomplete">
      <formula>NOT(ISERROR(SEARCH(("Incomplete"),(G1))))</formula>
    </cfRule>
  </conditionalFormatting>
  <conditionalFormatting sqref="I6:I17">
    <cfRule type="containsText" dxfId="148" priority="1" operator="containsText" text="Passed">
      <formula>NOT(ISERROR(SEARCH(("Passed"),(I6))))</formula>
    </cfRule>
    <cfRule type="containsText" dxfId="147" priority="2" operator="containsText" text="Failed">
      <formula>NOT(ISERROR(SEARCH(("Failed"),(I6))))</formula>
    </cfRule>
    <cfRule type="containsText" dxfId="146" priority="3" operator="containsText" text="Bug ok">
      <formula>NOT(ISERROR(SEARCH(("Bug ok"),(I6))))</formula>
    </cfRule>
    <cfRule type="containsText" dxfId="145" priority="4" operator="containsText" text="Blocked">
      <formula>NOT(ISERROR(SEARCH(("Blocked"),(I6))))</formula>
    </cfRule>
    <cfRule type="containsText" dxfId="144" priority="5" operator="containsText" text="Cannot run">
      <formula>NOT(ISERROR(SEARCH(("Cannot run"),(J6))))</formula>
    </cfRule>
  </conditionalFormatting>
  <dataValidations count="1">
    <dataValidation type="list" allowBlank="1" showErrorMessage="1" sqref="I6:I17" xr:uid="{537DAE16-87AA-4C55-BC6D-31408E325241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AA51-A6A8-4382-95AE-41E923040105}">
  <dimension ref="A1:J24"/>
  <sheetViews>
    <sheetView workbookViewId="0">
      <selection activeCell="H2" sqref="H2"/>
    </sheetView>
  </sheetViews>
  <sheetFormatPr defaultRowHeight="14.5" x14ac:dyDescent="0.35"/>
  <cols>
    <col min="1" max="1" width="38" customWidth="1"/>
    <col min="2" max="10" width="27.7265625" customWidth="1"/>
  </cols>
  <sheetData>
    <row r="1" spans="1:10" ht="15.5" x14ac:dyDescent="0.35">
      <c r="A1" s="76"/>
      <c r="B1" s="85" t="s">
        <v>2</v>
      </c>
      <c r="C1" s="78"/>
      <c r="D1" s="79" t="s">
        <v>2134</v>
      </c>
      <c r="E1" s="101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COUNTIF(A1:A209,"TC-??")</f>
        <v>19</v>
      </c>
      <c r="H2" s="14">
        <f>COUNTIF(I4:I844,"Đạt")</f>
        <v>19</v>
      </c>
      <c r="I2" s="6">
        <f>COUNTIF(G4:G871,"Không Đạt")</f>
        <v>0</v>
      </c>
      <c r="J2" s="6">
        <f>COUNTIF(G4:G871,"Chưa Xong")</f>
        <v>0</v>
      </c>
    </row>
    <row r="3" spans="1:10" ht="18" x14ac:dyDescent="0.35">
      <c r="A3" s="76"/>
      <c r="B3" s="85" t="s">
        <v>55</v>
      </c>
      <c r="C3" s="78"/>
      <c r="D3" s="88">
        <v>46002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29" x14ac:dyDescent="0.35">
      <c r="A6" s="17" t="s">
        <v>65</v>
      </c>
      <c r="B6" s="17" t="s">
        <v>2135</v>
      </c>
      <c r="C6" s="17" t="s">
        <v>2033</v>
      </c>
      <c r="D6" s="17" t="s">
        <v>2136</v>
      </c>
      <c r="E6" s="17" t="s">
        <v>2137</v>
      </c>
      <c r="F6" s="17" t="s">
        <v>2138</v>
      </c>
      <c r="G6" s="17" t="s">
        <v>2139</v>
      </c>
      <c r="H6" s="17" t="s">
        <v>2140</v>
      </c>
      <c r="I6" s="51" t="s">
        <v>4</v>
      </c>
    </row>
    <row r="7" spans="1:10" ht="29" x14ac:dyDescent="0.35">
      <c r="A7" s="17" t="s">
        <v>72</v>
      </c>
      <c r="B7" s="17" t="s">
        <v>2141</v>
      </c>
      <c r="C7" s="17" t="s">
        <v>2033</v>
      </c>
      <c r="D7" s="17" t="s">
        <v>2142</v>
      </c>
      <c r="E7" s="17" t="s">
        <v>2143</v>
      </c>
      <c r="F7" s="17" t="s">
        <v>2144</v>
      </c>
      <c r="G7" s="17" t="s">
        <v>2145</v>
      </c>
      <c r="H7" s="17" t="s">
        <v>2146</v>
      </c>
      <c r="I7" s="51" t="s">
        <v>4</v>
      </c>
    </row>
    <row r="8" spans="1:10" ht="29" x14ac:dyDescent="0.35">
      <c r="A8" s="17" t="s">
        <v>77</v>
      </c>
      <c r="B8" s="17" t="s">
        <v>2147</v>
      </c>
      <c r="C8" s="17" t="s">
        <v>2033</v>
      </c>
      <c r="D8" s="17" t="s">
        <v>2142</v>
      </c>
      <c r="E8" s="17" t="s">
        <v>2148</v>
      </c>
      <c r="F8" s="17" t="s">
        <v>2149</v>
      </c>
      <c r="G8" s="17" t="s">
        <v>2150</v>
      </c>
      <c r="H8" s="17" t="s">
        <v>2151</v>
      </c>
      <c r="I8" s="51" t="s">
        <v>4</v>
      </c>
    </row>
    <row r="9" spans="1:10" ht="29" x14ac:dyDescent="0.35">
      <c r="A9" s="17" t="s">
        <v>83</v>
      </c>
      <c r="B9" s="17" t="s">
        <v>2152</v>
      </c>
      <c r="C9" s="17" t="s">
        <v>315</v>
      </c>
      <c r="D9" s="17" t="s">
        <v>314</v>
      </c>
      <c r="E9" s="17" t="s">
        <v>2153</v>
      </c>
      <c r="F9" s="17" t="s">
        <v>2154</v>
      </c>
      <c r="G9" s="17" t="s">
        <v>1375</v>
      </c>
      <c r="H9" s="17" t="s">
        <v>2155</v>
      </c>
      <c r="I9" s="51" t="s">
        <v>4</v>
      </c>
    </row>
    <row r="10" spans="1:10" ht="29" x14ac:dyDescent="0.35">
      <c r="A10" s="17" t="s">
        <v>88</v>
      </c>
      <c r="B10" s="17" t="s">
        <v>2156</v>
      </c>
      <c r="C10" s="17" t="s">
        <v>2033</v>
      </c>
      <c r="D10" s="17" t="s">
        <v>2157</v>
      </c>
      <c r="E10" s="17" t="s">
        <v>2158</v>
      </c>
      <c r="F10" s="17" t="s">
        <v>2159</v>
      </c>
      <c r="G10" s="17" t="s">
        <v>2160</v>
      </c>
      <c r="H10" s="17" t="s">
        <v>2161</v>
      </c>
      <c r="I10" s="51" t="s">
        <v>4</v>
      </c>
    </row>
    <row r="11" spans="1:10" ht="29" x14ac:dyDescent="0.35">
      <c r="A11" s="17" t="s">
        <v>233</v>
      </c>
      <c r="B11" s="17" t="s">
        <v>2162</v>
      </c>
      <c r="C11" s="17" t="s">
        <v>2033</v>
      </c>
      <c r="D11" s="17" t="s">
        <v>1544</v>
      </c>
      <c r="E11" s="17" t="s">
        <v>2163</v>
      </c>
      <c r="F11" s="17" t="s">
        <v>2164</v>
      </c>
      <c r="G11" s="17" t="s">
        <v>2165</v>
      </c>
      <c r="H11" s="17" t="s">
        <v>2166</v>
      </c>
      <c r="I11" s="51" t="s">
        <v>4</v>
      </c>
    </row>
    <row r="12" spans="1:10" ht="29" x14ac:dyDescent="0.35">
      <c r="A12" s="17" t="s">
        <v>93</v>
      </c>
      <c r="B12" s="17" t="s">
        <v>2167</v>
      </c>
      <c r="C12" s="17" t="s">
        <v>2033</v>
      </c>
      <c r="D12" s="17" t="s">
        <v>1458</v>
      </c>
      <c r="E12" s="17" t="s">
        <v>1331</v>
      </c>
      <c r="F12" s="17" t="s">
        <v>2168</v>
      </c>
      <c r="G12" s="17" t="s">
        <v>2169</v>
      </c>
      <c r="H12" s="17" t="s">
        <v>2170</v>
      </c>
      <c r="I12" s="51" t="s">
        <v>4</v>
      </c>
    </row>
    <row r="13" spans="1:10" ht="29" x14ac:dyDescent="0.35">
      <c r="A13" s="17" t="s">
        <v>98</v>
      </c>
      <c r="B13" s="17" t="s">
        <v>2171</v>
      </c>
      <c r="C13" s="17" t="s">
        <v>1853</v>
      </c>
      <c r="D13" s="17" t="s">
        <v>2083</v>
      </c>
      <c r="E13" s="17" t="s">
        <v>2172</v>
      </c>
      <c r="F13" s="17" t="s">
        <v>2173</v>
      </c>
      <c r="G13" s="17" t="s">
        <v>2174</v>
      </c>
      <c r="H13" s="17" t="s">
        <v>2175</v>
      </c>
      <c r="I13" s="51" t="s">
        <v>4</v>
      </c>
    </row>
    <row r="14" spans="1:10" ht="29" x14ac:dyDescent="0.35">
      <c r="A14" s="17" t="s">
        <v>105</v>
      </c>
      <c r="B14" s="17" t="s">
        <v>2176</v>
      </c>
      <c r="C14" s="17" t="s">
        <v>2177</v>
      </c>
      <c r="D14" s="17" t="s">
        <v>2034</v>
      </c>
      <c r="E14" s="17" t="s">
        <v>1859</v>
      </c>
      <c r="F14" s="17" t="s">
        <v>2178</v>
      </c>
      <c r="G14" s="17" t="s">
        <v>2179</v>
      </c>
      <c r="H14" s="17" t="s">
        <v>2180</v>
      </c>
      <c r="I14" s="51" t="s">
        <v>4</v>
      </c>
    </row>
    <row r="15" spans="1:10" ht="29" x14ac:dyDescent="0.35">
      <c r="A15" s="17" t="s">
        <v>113</v>
      </c>
      <c r="B15" s="17" t="s">
        <v>2181</v>
      </c>
      <c r="C15" s="17" t="s">
        <v>2177</v>
      </c>
      <c r="D15" s="17" t="s">
        <v>2182</v>
      </c>
      <c r="E15" s="17" t="s">
        <v>2183</v>
      </c>
      <c r="F15" s="17" t="s">
        <v>2184</v>
      </c>
      <c r="G15" s="17" t="s">
        <v>2185</v>
      </c>
      <c r="H15" s="17" t="s">
        <v>2186</v>
      </c>
      <c r="I15" s="51" t="s">
        <v>4</v>
      </c>
    </row>
    <row r="16" spans="1:10" ht="29" x14ac:dyDescent="0.35">
      <c r="A16" s="17" t="s">
        <v>119</v>
      </c>
      <c r="B16" s="17" t="s">
        <v>2187</v>
      </c>
      <c r="C16" s="17" t="s">
        <v>2188</v>
      </c>
      <c r="D16" s="17" t="s">
        <v>2189</v>
      </c>
      <c r="E16" s="17" t="s">
        <v>2190</v>
      </c>
      <c r="F16" s="17" t="s">
        <v>2095</v>
      </c>
      <c r="G16" s="17" t="s">
        <v>2191</v>
      </c>
      <c r="H16" s="17" t="s">
        <v>2192</v>
      </c>
      <c r="I16" s="51" t="s">
        <v>4</v>
      </c>
    </row>
    <row r="17" spans="1:9" ht="29" x14ac:dyDescent="0.35">
      <c r="A17" s="17" t="s">
        <v>125</v>
      </c>
      <c r="B17" s="17" t="s">
        <v>2193</v>
      </c>
      <c r="C17" s="17" t="s">
        <v>2188</v>
      </c>
      <c r="D17" s="17" t="s">
        <v>2194</v>
      </c>
      <c r="E17" s="17" t="s">
        <v>2195</v>
      </c>
      <c r="F17" s="17" t="s">
        <v>2194</v>
      </c>
      <c r="G17" s="17" t="s">
        <v>2196</v>
      </c>
      <c r="H17" s="17" t="s">
        <v>2197</v>
      </c>
      <c r="I17" s="51" t="s">
        <v>4</v>
      </c>
    </row>
    <row r="18" spans="1:9" ht="29" x14ac:dyDescent="0.35">
      <c r="A18" s="17" t="s">
        <v>132</v>
      </c>
      <c r="B18" s="17" t="s">
        <v>2198</v>
      </c>
      <c r="C18" s="17" t="s">
        <v>2188</v>
      </c>
      <c r="D18" s="17" t="s">
        <v>2199</v>
      </c>
      <c r="E18" s="17" t="s">
        <v>2200</v>
      </c>
      <c r="F18" s="17" t="s">
        <v>2201</v>
      </c>
      <c r="G18" s="17" t="s">
        <v>2202</v>
      </c>
      <c r="H18" s="17" t="s">
        <v>2203</v>
      </c>
      <c r="I18" s="51" t="s">
        <v>4</v>
      </c>
    </row>
    <row r="19" spans="1:9" ht="29" x14ac:dyDescent="0.35">
      <c r="A19" s="17" t="s">
        <v>138</v>
      </c>
      <c r="B19" s="17" t="s">
        <v>2204</v>
      </c>
      <c r="C19" s="17" t="s">
        <v>2188</v>
      </c>
      <c r="D19" s="17" t="s">
        <v>1579</v>
      </c>
      <c r="E19" s="17" t="s">
        <v>2205</v>
      </c>
      <c r="F19" s="17" t="s">
        <v>2206</v>
      </c>
      <c r="G19" s="17" t="s">
        <v>2207</v>
      </c>
      <c r="H19" s="17" t="s">
        <v>2208</v>
      </c>
      <c r="I19" s="51" t="s">
        <v>4</v>
      </c>
    </row>
    <row r="20" spans="1:9" ht="29" x14ac:dyDescent="0.35">
      <c r="A20" s="17" t="s">
        <v>144</v>
      </c>
      <c r="B20" s="17" t="s">
        <v>2209</v>
      </c>
      <c r="C20" s="17" t="s">
        <v>2188</v>
      </c>
      <c r="D20" s="17" t="s">
        <v>866</v>
      </c>
      <c r="E20" s="17" t="s">
        <v>2210</v>
      </c>
      <c r="F20" s="17" t="s">
        <v>2211</v>
      </c>
      <c r="G20" s="17" t="s">
        <v>2212</v>
      </c>
      <c r="H20" s="17" t="s">
        <v>868</v>
      </c>
      <c r="I20" s="51" t="s">
        <v>4</v>
      </c>
    </row>
    <row r="21" spans="1:9" ht="29" x14ac:dyDescent="0.35">
      <c r="A21" s="17" t="s">
        <v>150</v>
      </c>
      <c r="B21" s="17" t="s">
        <v>2213</v>
      </c>
      <c r="C21" s="17" t="s">
        <v>2188</v>
      </c>
      <c r="D21" s="17" t="s">
        <v>866</v>
      </c>
      <c r="E21" s="17" t="s">
        <v>2214</v>
      </c>
      <c r="F21" s="17" t="s">
        <v>1268</v>
      </c>
      <c r="G21" s="17" t="s">
        <v>2215</v>
      </c>
      <c r="H21" s="17" t="s">
        <v>2216</v>
      </c>
      <c r="I21" s="51" t="s">
        <v>4</v>
      </c>
    </row>
    <row r="22" spans="1:9" ht="29" x14ac:dyDescent="0.35">
      <c r="A22" s="17" t="s">
        <v>157</v>
      </c>
      <c r="B22" s="17" t="s">
        <v>2217</v>
      </c>
      <c r="C22" s="17" t="s">
        <v>2218</v>
      </c>
      <c r="D22" s="17" t="s">
        <v>224</v>
      </c>
      <c r="E22" s="17" t="s">
        <v>1859</v>
      </c>
      <c r="F22" s="17" t="s">
        <v>2219</v>
      </c>
      <c r="G22" s="17" t="s">
        <v>2220</v>
      </c>
      <c r="H22" s="17" t="s">
        <v>2221</v>
      </c>
      <c r="I22" s="51" t="s">
        <v>4</v>
      </c>
    </row>
    <row r="23" spans="1:9" ht="29" x14ac:dyDescent="0.35">
      <c r="A23" s="17" t="s">
        <v>163</v>
      </c>
      <c r="B23" s="17" t="s">
        <v>2222</v>
      </c>
      <c r="C23" s="17" t="s">
        <v>368</v>
      </c>
      <c r="D23" s="17" t="s">
        <v>2223</v>
      </c>
      <c r="E23" s="17" t="s">
        <v>2224</v>
      </c>
      <c r="F23" s="17" t="s">
        <v>2225</v>
      </c>
      <c r="G23" s="17" t="s">
        <v>2226</v>
      </c>
      <c r="H23" s="17" t="s">
        <v>2227</v>
      </c>
      <c r="I23" s="51" t="s">
        <v>4</v>
      </c>
    </row>
    <row r="24" spans="1:9" ht="29" x14ac:dyDescent="0.35">
      <c r="A24" s="17" t="s">
        <v>299</v>
      </c>
      <c r="B24" s="17" t="s">
        <v>2228</v>
      </c>
      <c r="C24" s="17" t="s">
        <v>368</v>
      </c>
      <c r="D24" s="17" t="s">
        <v>1886</v>
      </c>
      <c r="E24" s="17" t="s">
        <v>2229</v>
      </c>
      <c r="F24" s="17" t="s">
        <v>1903</v>
      </c>
      <c r="G24" s="17" t="s">
        <v>1904</v>
      </c>
      <c r="H24" s="17" t="s">
        <v>2230</v>
      </c>
      <c r="I24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43" priority="6" operator="containsText" text="Passed">
      <formula>NOT(ISERROR(SEARCH(("Passed"),(G1))))</formula>
    </cfRule>
    <cfRule type="containsText" dxfId="142" priority="7" operator="containsText" text="Failed">
      <formula>NOT(ISERROR(SEARCH(("Failed"),(G1))))</formula>
    </cfRule>
    <cfRule type="containsText" dxfId="141" priority="8" operator="containsText" text="Incomplete">
      <formula>NOT(ISERROR(SEARCH(("Incomplete"),(G1))))</formula>
    </cfRule>
  </conditionalFormatting>
  <conditionalFormatting sqref="I6:I24">
    <cfRule type="containsText" dxfId="140" priority="1" operator="containsText" text="Passed">
      <formula>NOT(ISERROR(SEARCH(("Passed"),(I6))))</formula>
    </cfRule>
    <cfRule type="containsText" dxfId="139" priority="2" operator="containsText" text="Failed">
      <formula>NOT(ISERROR(SEARCH(("Failed"),(I6))))</formula>
    </cfRule>
    <cfRule type="containsText" dxfId="138" priority="3" operator="containsText" text="Bug ok">
      <formula>NOT(ISERROR(SEARCH(("Bug ok"),(I6))))</formula>
    </cfRule>
    <cfRule type="containsText" dxfId="137" priority="4" operator="containsText" text="Blocked">
      <formula>NOT(ISERROR(SEARCH(("Blocked"),(I6))))</formula>
    </cfRule>
    <cfRule type="containsText" dxfId="136" priority="5" operator="containsText" text="Cannot run">
      <formula>NOT(ISERROR(SEARCH(("Cannot run"),(J6))))</formula>
    </cfRule>
  </conditionalFormatting>
  <dataValidations count="1">
    <dataValidation type="list" allowBlank="1" showErrorMessage="1" sqref="I6:I24" xr:uid="{013C5222-5873-4F0E-8D0B-443EB368EEF2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0583-0F42-4F29-BC45-CFF33928091B}">
  <dimension ref="A1:J40"/>
  <sheetViews>
    <sheetView topLeftCell="A7" workbookViewId="0">
      <selection activeCell="G20" sqref="G20"/>
    </sheetView>
  </sheetViews>
  <sheetFormatPr defaultRowHeight="14.5" x14ac:dyDescent="0.35"/>
  <cols>
    <col min="1" max="1" width="38.54296875" customWidth="1"/>
    <col min="2" max="10" width="27.81640625" customWidth="1"/>
  </cols>
  <sheetData>
    <row r="1" spans="1:10" ht="15.5" x14ac:dyDescent="0.35">
      <c r="A1" s="76"/>
      <c r="B1" s="85" t="s">
        <v>2</v>
      </c>
      <c r="C1" s="78"/>
      <c r="D1" s="79" t="s">
        <v>2231</v>
      </c>
      <c r="E1" s="101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COUNTIF(A1:A207,"TC-??")</f>
        <v>14</v>
      </c>
      <c r="H2" s="14">
        <f>COUNTIF(I4:I844,"Đạt")</f>
        <v>14</v>
      </c>
      <c r="I2" s="6">
        <f>COUNTIF(G4:G869,"Không Đạt")</f>
        <v>0</v>
      </c>
      <c r="J2" s="6">
        <f>COUNTIF(G4:G869,"Chưa Xong")</f>
        <v>0</v>
      </c>
    </row>
    <row r="3" spans="1:10" ht="18" x14ac:dyDescent="0.35">
      <c r="A3" s="76"/>
      <c r="B3" s="85" t="s">
        <v>55</v>
      </c>
      <c r="C3" s="78"/>
      <c r="D3" s="88">
        <v>46002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58" x14ac:dyDescent="0.35">
      <c r="A6" s="17" t="s">
        <v>65</v>
      </c>
      <c r="B6" s="17" t="s">
        <v>2232</v>
      </c>
      <c r="C6" s="17" t="s">
        <v>1913</v>
      </c>
      <c r="D6" s="17" t="s">
        <v>2068</v>
      </c>
      <c r="E6" s="17" t="s">
        <v>2233</v>
      </c>
      <c r="F6" s="17" t="s">
        <v>2234</v>
      </c>
      <c r="G6" s="17" t="s">
        <v>2235</v>
      </c>
      <c r="H6" s="17" t="s">
        <v>2236</v>
      </c>
      <c r="I6" s="51" t="s">
        <v>4</v>
      </c>
    </row>
    <row r="7" spans="1:10" ht="43.5" x14ac:dyDescent="0.35">
      <c r="A7" s="17" t="s">
        <v>72</v>
      </c>
      <c r="B7" s="17" t="s">
        <v>2237</v>
      </c>
      <c r="C7" s="17" t="s">
        <v>1913</v>
      </c>
      <c r="D7" s="17" t="s">
        <v>2238</v>
      </c>
      <c r="E7" s="17" t="s">
        <v>2239</v>
      </c>
      <c r="F7" s="17" t="s">
        <v>2075</v>
      </c>
      <c r="G7" s="17" t="s">
        <v>2240</v>
      </c>
      <c r="H7" s="17" t="s">
        <v>2241</v>
      </c>
      <c r="I7" s="51" t="s">
        <v>4</v>
      </c>
    </row>
    <row r="8" spans="1:10" ht="29" x14ac:dyDescent="0.35">
      <c r="A8" s="17" t="s">
        <v>77</v>
      </c>
      <c r="B8" s="17" t="s">
        <v>2242</v>
      </c>
      <c r="C8" s="17" t="s">
        <v>1913</v>
      </c>
      <c r="D8" s="17" t="s">
        <v>2057</v>
      </c>
      <c r="E8" s="17" t="s">
        <v>2239</v>
      </c>
      <c r="F8" s="17" t="s">
        <v>2243</v>
      </c>
      <c r="G8" s="17" t="s">
        <v>2244</v>
      </c>
      <c r="H8" s="17" t="s">
        <v>2242</v>
      </c>
      <c r="I8" s="51" t="s">
        <v>4</v>
      </c>
    </row>
    <row r="9" spans="1:10" ht="58" x14ac:dyDescent="0.35">
      <c r="A9" s="17" t="s">
        <v>83</v>
      </c>
      <c r="B9" s="17" t="s">
        <v>2245</v>
      </c>
      <c r="C9" s="17" t="s">
        <v>1913</v>
      </c>
      <c r="D9" s="17" t="s">
        <v>2089</v>
      </c>
      <c r="E9" s="17" t="s">
        <v>2246</v>
      </c>
      <c r="F9" s="17" t="s">
        <v>2247</v>
      </c>
      <c r="G9" s="17" t="s">
        <v>2248</v>
      </c>
      <c r="H9" s="17" t="s">
        <v>2249</v>
      </c>
      <c r="I9" s="51" t="s">
        <v>4</v>
      </c>
    </row>
    <row r="10" spans="1:10" ht="29" x14ac:dyDescent="0.35">
      <c r="A10" s="17" t="s">
        <v>88</v>
      </c>
      <c r="B10" s="17" t="s">
        <v>2094</v>
      </c>
      <c r="C10" s="17" t="s">
        <v>1913</v>
      </c>
      <c r="D10" s="17" t="s">
        <v>2095</v>
      </c>
      <c r="E10" s="17" t="s">
        <v>2250</v>
      </c>
      <c r="F10" s="17" t="s">
        <v>2251</v>
      </c>
      <c r="G10" s="17" t="s">
        <v>2252</v>
      </c>
      <c r="H10" s="17" t="s">
        <v>2253</v>
      </c>
      <c r="I10" s="51" t="s">
        <v>4</v>
      </c>
    </row>
    <row r="11" spans="1:10" ht="43.5" x14ac:dyDescent="0.35">
      <c r="A11" s="17" t="s">
        <v>233</v>
      </c>
      <c r="B11" s="17" t="s">
        <v>2254</v>
      </c>
      <c r="C11" s="17" t="s">
        <v>1913</v>
      </c>
      <c r="D11" s="17" t="s">
        <v>1387</v>
      </c>
      <c r="E11" s="17" t="s">
        <v>2255</v>
      </c>
      <c r="F11" s="17" t="s">
        <v>2256</v>
      </c>
      <c r="G11" s="17" t="s">
        <v>2257</v>
      </c>
      <c r="H11" s="17" t="s">
        <v>2258</v>
      </c>
      <c r="I11" s="51" t="s">
        <v>4</v>
      </c>
    </row>
    <row r="12" spans="1:10" ht="43.5" x14ac:dyDescent="0.35">
      <c r="A12" s="17" t="s">
        <v>93</v>
      </c>
      <c r="B12" s="17" t="s">
        <v>2259</v>
      </c>
      <c r="C12" s="17" t="s">
        <v>1913</v>
      </c>
      <c r="D12" s="17" t="s">
        <v>2260</v>
      </c>
      <c r="E12" s="17" t="s">
        <v>2261</v>
      </c>
      <c r="F12" s="17" t="s">
        <v>2262</v>
      </c>
      <c r="G12" s="17" t="s">
        <v>2263</v>
      </c>
      <c r="H12" s="17" t="s">
        <v>2264</v>
      </c>
      <c r="I12" s="51" t="s">
        <v>4</v>
      </c>
    </row>
    <row r="13" spans="1:10" ht="43.5" x14ac:dyDescent="0.35">
      <c r="A13" s="17" t="s">
        <v>98</v>
      </c>
      <c r="B13" s="17" t="s">
        <v>2265</v>
      </c>
      <c r="C13" s="17" t="s">
        <v>1913</v>
      </c>
      <c r="D13" s="17" t="s">
        <v>7</v>
      </c>
      <c r="E13" s="17" t="s">
        <v>2239</v>
      </c>
      <c r="F13" s="17" t="s">
        <v>2266</v>
      </c>
      <c r="G13" s="17" t="s">
        <v>2267</v>
      </c>
      <c r="H13" s="17" t="s">
        <v>2268</v>
      </c>
      <c r="I13" s="51" t="s">
        <v>4</v>
      </c>
    </row>
    <row r="14" spans="1:10" ht="43.5" x14ac:dyDescent="0.35">
      <c r="A14" s="17" t="s">
        <v>105</v>
      </c>
      <c r="B14" s="17" t="s">
        <v>2269</v>
      </c>
      <c r="C14" s="17" t="s">
        <v>1913</v>
      </c>
      <c r="D14" s="17" t="s">
        <v>2270</v>
      </c>
      <c r="E14" s="17" t="s">
        <v>2239</v>
      </c>
      <c r="F14" s="17" t="s">
        <v>2271</v>
      </c>
      <c r="G14" s="17" t="s">
        <v>2272</v>
      </c>
      <c r="H14" s="17" t="s">
        <v>2273</v>
      </c>
      <c r="I14" s="51" t="s">
        <v>4</v>
      </c>
    </row>
    <row r="15" spans="1:10" ht="43.5" x14ac:dyDescent="0.35">
      <c r="A15" s="17" t="s">
        <v>113</v>
      </c>
      <c r="B15" s="17" t="s">
        <v>2274</v>
      </c>
      <c r="C15" s="17" t="s">
        <v>315</v>
      </c>
      <c r="D15" s="17" t="s">
        <v>2275</v>
      </c>
      <c r="E15" s="17" t="s">
        <v>2153</v>
      </c>
      <c r="F15" s="17" t="s">
        <v>2276</v>
      </c>
      <c r="G15" s="17" t="s">
        <v>1764</v>
      </c>
      <c r="H15" s="17" t="s">
        <v>2277</v>
      </c>
      <c r="I15" s="51" t="s">
        <v>4</v>
      </c>
    </row>
    <row r="16" spans="1:10" ht="43.5" x14ac:dyDescent="0.35">
      <c r="A16" s="17" t="s">
        <v>119</v>
      </c>
      <c r="B16" s="17" t="s">
        <v>2278</v>
      </c>
      <c r="C16" s="17" t="s">
        <v>1913</v>
      </c>
      <c r="D16" s="17" t="s">
        <v>1481</v>
      </c>
      <c r="E16" s="17" t="s">
        <v>2279</v>
      </c>
      <c r="F16" s="17" t="s">
        <v>2124</v>
      </c>
      <c r="G16" s="17" t="s">
        <v>2280</v>
      </c>
      <c r="H16" s="17" t="s">
        <v>2281</v>
      </c>
      <c r="I16" s="51" t="s">
        <v>4</v>
      </c>
    </row>
    <row r="17" spans="1:9" ht="43.5" x14ac:dyDescent="0.35">
      <c r="A17" s="17" t="s">
        <v>125</v>
      </c>
      <c r="B17" s="17" t="s">
        <v>2282</v>
      </c>
      <c r="C17" s="17" t="s">
        <v>1579</v>
      </c>
      <c r="D17" s="17" t="s">
        <v>2111</v>
      </c>
      <c r="E17" s="17" t="s">
        <v>2112</v>
      </c>
      <c r="F17" s="17" t="s">
        <v>2283</v>
      </c>
      <c r="G17" s="17" t="s">
        <v>2284</v>
      </c>
      <c r="H17" s="17" t="s">
        <v>2115</v>
      </c>
      <c r="I17" s="51" t="s">
        <v>4</v>
      </c>
    </row>
    <row r="18" spans="1:9" ht="43.5" x14ac:dyDescent="0.35">
      <c r="A18" s="17" t="s">
        <v>132</v>
      </c>
      <c r="B18" s="17" t="s">
        <v>2285</v>
      </c>
      <c r="C18" s="17" t="s">
        <v>1579</v>
      </c>
      <c r="D18" s="17" t="s">
        <v>2117</v>
      </c>
      <c r="E18" s="17" t="s">
        <v>2286</v>
      </c>
      <c r="F18" s="17" t="s">
        <v>2287</v>
      </c>
      <c r="G18" s="17" t="s">
        <v>2288</v>
      </c>
      <c r="H18" s="17" t="s">
        <v>2289</v>
      </c>
      <c r="I18" s="51" t="s">
        <v>4</v>
      </c>
    </row>
    <row r="19" spans="1:9" ht="43.5" x14ac:dyDescent="0.35">
      <c r="A19" s="17" t="s">
        <v>138</v>
      </c>
      <c r="B19" s="17" t="s">
        <v>2290</v>
      </c>
      <c r="C19" s="17" t="s">
        <v>2128</v>
      </c>
      <c r="D19" s="17" t="s">
        <v>2129</v>
      </c>
      <c r="E19" s="17" t="s">
        <v>2291</v>
      </c>
      <c r="F19" s="17" t="s">
        <v>2292</v>
      </c>
      <c r="G19" s="17" t="s">
        <v>2293</v>
      </c>
      <c r="H19" s="17" t="s">
        <v>2294</v>
      </c>
      <c r="I19" s="51" t="s">
        <v>4</v>
      </c>
    </row>
    <row r="20" spans="1:9" x14ac:dyDescent="0.35">
      <c r="A20" s="17"/>
      <c r="B20" s="17"/>
      <c r="C20" s="17"/>
      <c r="D20" s="17"/>
      <c r="E20" s="17"/>
      <c r="F20" s="17"/>
      <c r="G20" s="17"/>
      <c r="H20" s="17"/>
    </row>
    <row r="21" spans="1:9" x14ac:dyDescent="0.35">
      <c r="A21" s="17"/>
      <c r="B21" s="17"/>
      <c r="C21" s="17"/>
      <c r="D21" s="17"/>
      <c r="E21" s="17"/>
      <c r="F21" s="17"/>
      <c r="G21" s="17"/>
      <c r="H21" s="17"/>
    </row>
    <row r="22" spans="1:9" x14ac:dyDescent="0.35">
      <c r="A22" s="17"/>
      <c r="B22" s="17"/>
      <c r="C22" s="17"/>
      <c r="D22" s="17"/>
      <c r="E22" s="17"/>
      <c r="F22" s="17"/>
      <c r="G22" s="17"/>
      <c r="H22" s="17"/>
    </row>
    <row r="23" spans="1:9" x14ac:dyDescent="0.35">
      <c r="A23" s="17"/>
      <c r="B23" s="17"/>
      <c r="C23" s="17"/>
      <c r="D23" s="17"/>
      <c r="E23" s="17"/>
      <c r="F23" s="17"/>
      <c r="G23" s="17"/>
      <c r="H23" s="17"/>
    </row>
    <row r="24" spans="1:9" x14ac:dyDescent="0.35">
      <c r="A24" s="17"/>
      <c r="B24" s="17"/>
      <c r="C24" s="17"/>
      <c r="D24" s="17"/>
      <c r="E24" s="17"/>
      <c r="F24" s="17"/>
      <c r="G24" s="17"/>
      <c r="H24" s="17"/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  <row r="26" spans="1:9" x14ac:dyDescent="0.35">
      <c r="A26" s="17"/>
      <c r="B26" s="17"/>
      <c r="C26" s="17"/>
      <c r="D26" s="17"/>
      <c r="E26" s="17"/>
      <c r="F26" s="17"/>
      <c r="G26" s="17"/>
      <c r="H26" s="17"/>
    </row>
    <row r="27" spans="1:9" x14ac:dyDescent="0.35">
      <c r="A27" s="17"/>
      <c r="B27" s="17"/>
      <c r="C27" s="17"/>
      <c r="D27" s="17"/>
      <c r="E27" s="17"/>
      <c r="F27" s="17"/>
      <c r="G27" s="17"/>
      <c r="H27" s="17"/>
    </row>
    <row r="28" spans="1:9" x14ac:dyDescent="0.35">
      <c r="A28" s="17"/>
      <c r="B28" s="17"/>
      <c r="C28" s="17"/>
      <c r="D28" s="17"/>
      <c r="E28" s="17"/>
      <c r="F28" s="17"/>
      <c r="G28" s="17"/>
      <c r="H28" s="17"/>
    </row>
    <row r="29" spans="1:9" x14ac:dyDescent="0.35">
      <c r="A29" s="17"/>
      <c r="B29" s="17"/>
      <c r="C29" s="17"/>
      <c r="D29" s="17"/>
      <c r="E29" s="17"/>
      <c r="F29" s="17"/>
      <c r="G29" s="17"/>
      <c r="H29" s="17"/>
    </row>
    <row r="30" spans="1:9" x14ac:dyDescent="0.35">
      <c r="A30" s="17"/>
      <c r="B30" s="17"/>
      <c r="C30" s="17"/>
      <c r="D30" s="17"/>
      <c r="E30" s="17"/>
      <c r="F30" s="17"/>
      <c r="G30" s="17"/>
      <c r="H30" s="17"/>
    </row>
    <row r="31" spans="1:9" x14ac:dyDescent="0.35">
      <c r="A31" s="17"/>
      <c r="B31" s="17"/>
      <c r="C31" s="17"/>
      <c r="D31" s="17"/>
      <c r="E31" s="17"/>
      <c r="F31" s="17"/>
      <c r="G31" s="17"/>
      <c r="H31" s="17"/>
    </row>
    <row r="32" spans="1:9" x14ac:dyDescent="0.35">
      <c r="A32" s="17"/>
      <c r="B32" s="17"/>
      <c r="C32" s="17"/>
      <c r="D32" s="17"/>
      <c r="E32" s="17"/>
      <c r="F32" s="17"/>
      <c r="G32" s="17"/>
      <c r="H32" s="17"/>
    </row>
    <row r="33" spans="1:8" x14ac:dyDescent="0.35">
      <c r="A33" s="17"/>
      <c r="B33" s="17"/>
      <c r="C33" s="17"/>
      <c r="D33" s="17"/>
      <c r="E33" s="17"/>
      <c r="F33" s="17"/>
      <c r="G33" s="17"/>
      <c r="H33" s="17"/>
    </row>
    <row r="34" spans="1:8" x14ac:dyDescent="0.35">
      <c r="A34" s="17"/>
      <c r="B34" s="17"/>
      <c r="C34" s="17"/>
      <c r="D34" s="17"/>
      <c r="E34" s="17"/>
      <c r="F34" s="17"/>
      <c r="G34" s="17"/>
      <c r="H34" s="17"/>
    </row>
    <row r="35" spans="1:8" x14ac:dyDescent="0.35">
      <c r="A35" s="17"/>
      <c r="B35" s="17"/>
      <c r="C35" s="17"/>
      <c r="D35" s="17"/>
      <c r="E35" s="17"/>
      <c r="F35" s="17"/>
      <c r="G35" s="17"/>
      <c r="H35" s="17"/>
    </row>
    <row r="36" spans="1:8" x14ac:dyDescent="0.35">
      <c r="A36" s="17"/>
      <c r="B36" s="17"/>
      <c r="C36" s="17"/>
      <c r="D36" s="17"/>
      <c r="E36" s="17"/>
      <c r="F36" s="17"/>
      <c r="G36" s="17"/>
      <c r="H36" s="17"/>
    </row>
    <row r="37" spans="1:8" x14ac:dyDescent="0.35">
      <c r="A37" s="17"/>
      <c r="B37" s="17"/>
      <c r="C37" s="17"/>
      <c r="D37" s="17"/>
      <c r="E37" s="17"/>
      <c r="F37" s="17"/>
      <c r="G37" s="17"/>
      <c r="H37" s="17"/>
    </row>
    <row r="38" spans="1:8" x14ac:dyDescent="0.35">
      <c r="A38" s="17"/>
      <c r="B38" s="17"/>
      <c r="C38" s="17"/>
      <c r="D38" s="17"/>
      <c r="E38" s="17"/>
      <c r="F38" s="17"/>
      <c r="G38" s="17"/>
      <c r="H38" s="17"/>
    </row>
    <row r="39" spans="1:8" x14ac:dyDescent="0.35">
      <c r="A39" s="17"/>
      <c r="B39" s="17"/>
      <c r="C39" s="17"/>
      <c r="D39" s="17"/>
      <c r="E39" s="17"/>
      <c r="F39" s="17"/>
      <c r="G39" s="17"/>
      <c r="H39" s="17"/>
    </row>
    <row r="40" spans="1:8" x14ac:dyDescent="0.35">
      <c r="A40" s="17"/>
      <c r="B40" s="17"/>
      <c r="C40" s="17"/>
      <c r="D40" s="17"/>
      <c r="E40" s="17"/>
      <c r="F40" s="17"/>
      <c r="G40" s="17"/>
      <c r="H40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35" priority="6" operator="containsText" text="Passed">
      <formula>NOT(ISERROR(SEARCH(("Passed"),(G1))))</formula>
    </cfRule>
    <cfRule type="containsText" dxfId="134" priority="7" operator="containsText" text="Failed">
      <formula>NOT(ISERROR(SEARCH(("Failed"),(G1))))</formula>
    </cfRule>
    <cfRule type="containsText" dxfId="133" priority="8" operator="containsText" text="Incomplete">
      <formula>NOT(ISERROR(SEARCH(("Incomplete"),(G1))))</formula>
    </cfRule>
  </conditionalFormatting>
  <conditionalFormatting sqref="I6:I19">
    <cfRule type="containsText" dxfId="132" priority="1" operator="containsText" text="Passed">
      <formula>NOT(ISERROR(SEARCH(("Passed"),(I6))))</formula>
    </cfRule>
    <cfRule type="containsText" dxfId="131" priority="2" operator="containsText" text="Failed">
      <formula>NOT(ISERROR(SEARCH(("Failed"),(I6))))</formula>
    </cfRule>
    <cfRule type="containsText" dxfId="130" priority="3" operator="containsText" text="Bug ok">
      <formula>NOT(ISERROR(SEARCH(("Bug ok"),(I6))))</formula>
    </cfRule>
    <cfRule type="containsText" dxfId="129" priority="4" operator="containsText" text="Blocked">
      <formula>NOT(ISERROR(SEARCH(("Blocked"),(I6))))</formula>
    </cfRule>
    <cfRule type="containsText" dxfId="128" priority="5" operator="containsText" text="Cannot run">
      <formula>NOT(ISERROR(SEARCH(("Cannot run"),(J6))))</formula>
    </cfRule>
  </conditionalFormatting>
  <dataValidations count="1">
    <dataValidation type="list" allowBlank="1" showErrorMessage="1" sqref="I6:I19" xr:uid="{5E71459B-561E-4AB1-A150-8E7F4A670860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E0E7-0573-490E-A8C3-58824C9C5B5D}">
  <dimension ref="A1:J42"/>
  <sheetViews>
    <sheetView workbookViewId="0">
      <selection activeCell="A5" sqref="A5:I19"/>
    </sheetView>
  </sheetViews>
  <sheetFormatPr defaultRowHeight="14.5" x14ac:dyDescent="0.35"/>
  <cols>
    <col min="1" max="1" width="38.26953125" customWidth="1"/>
    <col min="2" max="10" width="27.54296875" customWidth="1"/>
  </cols>
  <sheetData>
    <row r="1" spans="1:10" ht="15.5" x14ac:dyDescent="0.35">
      <c r="A1" s="76"/>
      <c r="B1" s="85" t="s">
        <v>2</v>
      </c>
      <c r="C1" s="78"/>
      <c r="D1" s="79" t="s">
        <v>2295</v>
      </c>
      <c r="E1" s="101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COUNTIF(A1:A204,"TC-??")</f>
        <v>14</v>
      </c>
      <c r="H2" s="14">
        <f>COUNTIF(I4:I844,"Đạt")</f>
        <v>14</v>
      </c>
      <c r="I2" s="6">
        <f>COUNTIF(G4:G866,"Không Đạt")</f>
        <v>0</v>
      </c>
      <c r="J2" s="6">
        <f>COUNTIF(G4:G866,"Chưa Xong")</f>
        <v>0</v>
      </c>
    </row>
    <row r="3" spans="1:10" ht="18" x14ac:dyDescent="0.35">
      <c r="A3" s="76"/>
      <c r="B3" s="85" t="s">
        <v>55</v>
      </c>
      <c r="C3" s="78"/>
      <c r="D3" s="88">
        <v>46002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58" x14ac:dyDescent="0.35">
      <c r="A6" s="17" t="s">
        <v>65</v>
      </c>
      <c r="B6" s="17" t="s">
        <v>2296</v>
      </c>
      <c r="C6" s="17" t="s">
        <v>1913</v>
      </c>
      <c r="D6" s="17" t="s">
        <v>2068</v>
      </c>
      <c r="E6" s="17" t="s">
        <v>2297</v>
      </c>
      <c r="F6" s="17" t="s">
        <v>2298</v>
      </c>
      <c r="G6" s="17" t="s">
        <v>2299</v>
      </c>
      <c r="H6" s="17" t="s">
        <v>2300</v>
      </c>
      <c r="I6" s="51" t="s">
        <v>4</v>
      </c>
    </row>
    <row r="7" spans="1:10" ht="29" x14ac:dyDescent="0.35">
      <c r="A7" s="17" t="s">
        <v>72</v>
      </c>
      <c r="B7" s="17" t="s">
        <v>2237</v>
      </c>
      <c r="C7" s="17" t="s">
        <v>1913</v>
      </c>
      <c r="D7" s="17" t="s">
        <v>2238</v>
      </c>
      <c r="E7" s="17" t="s">
        <v>2301</v>
      </c>
      <c r="F7" s="17" t="s">
        <v>2075</v>
      </c>
      <c r="G7" s="17" t="s">
        <v>2302</v>
      </c>
      <c r="H7" s="17" t="s">
        <v>2241</v>
      </c>
      <c r="I7" s="51" t="s">
        <v>4</v>
      </c>
    </row>
    <row r="8" spans="1:10" ht="29" x14ac:dyDescent="0.35">
      <c r="A8" s="17" t="s">
        <v>77</v>
      </c>
      <c r="B8" s="17" t="s">
        <v>2242</v>
      </c>
      <c r="C8" s="17" t="s">
        <v>1913</v>
      </c>
      <c r="D8" s="17" t="s">
        <v>2057</v>
      </c>
      <c r="E8" s="17" t="s">
        <v>2301</v>
      </c>
      <c r="F8" s="17" t="s">
        <v>2243</v>
      </c>
      <c r="G8" s="17" t="s">
        <v>2303</v>
      </c>
      <c r="H8" s="17" t="s">
        <v>2242</v>
      </c>
      <c r="I8" s="51" t="s">
        <v>4</v>
      </c>
    </row>
    <row r="9" spans="1:10" ht="43.5" x14ac:dyDescent="0.35">
      <c r="A9" s="17" t="s">
        <v>83</v>
      </c>
      <c r="B9" s="17" t="s">
        <v>2245</v>
      </c>
      <c r="C9" s="17" t="s">
        <v>1913</v>
      </c>
      <c r="D9" s="17" t="s">
        <v>2089</v>
      </c>
      <c r="E9" s="17" t="s">
        <v>2246</v>
      </c>
      <c r="F9" s="17" t="s">
        <v>2247</v>
      </c>
      <c r="G9" s="17" t="s">
        <v>2092</v>
      </c>
      <c r="H9" s="17" t="s">
        <v>2249</v>
      </c>
      <c r="I9" s="51" t="s">
        <v>4</v>
      </c>
    </row>
    <row r="10" spans="1:10" ht="29" x14ac:dyDescent="0.35">
      <c r="A10" s="17" t="s">
        <v>88</v>
      </c>
      <c r="B10" s="17" t="s">
        <v>2094</v>
      </c>
      <c r="C10" s="17" t="s">
        <v>1913</v>
      </c>
      <c r="D10" s="17" t="s">
        <v>2095</v>
      </c>
      <c r="E10" s="17" t="s">
        <v>2250</v>
      </c>
      <c r="F10" s="17" t="s">
        <v>2251</v>
      </c>
      <c r="G10" s="17" t="s">
        <v>2252</v>
      </c>
      <c r="H10" s="17" t="s">
        <v>2253</v>
      </c>
      <c r="I10" s="51" t="s">
        <v>4</v>
      </c>
    </row>
    <row r="11" spans="1:10" ht="29" x14ac:dyDescent="0.35">
      <c r="A11" s="17" t="s">
        <v>233</v>
      </c>
      <c r="B11" s="17" t="s">
        <v>2254</v>
      </c>
      <c r="C11" s="17" t="s">
        <v>1913</v>
      </c>
      <c r="D11" s="17" t="s">
        <v>1387</v>
      </c>
      <c r="E11" s="17" t="s">
        <v>2255</v>
      </c>
      <c r="F11" s="17" t="s">
        <v>2256</v>
      </c>
      <c r="G11" s="17" t="s">
        <v>2103</v>
      </c>
      <c r="H11" s="17" t="s">
        <v>2258</v>
      </c>
      <c r="I11" s="51" t="s">
        <v>4</v>
      </c>
    </row>
    <row r="12" spans="1:10" ht="29" x14ac:dyDescent="0.35">
      <c r="A12" s="17" t="s">
        <v>93</v>
      </c>
      <c r="B12" s="17" t="s">
        <v>2259</v>
      </c>
      <c r="C12" s="17" t="s">
        <v>1913</v>
      </c>
      <c r="D12" s="17" t="s">
        <v>2260</v>
      </c>
      <c r="E12" s="17" t="s">
        <v>2261</v>
      </c>
      <c r="F12" s="17" t="s">
        <v>2262</v>
      </c>
      <c r="G12" s="17" t="s">
        <v>2304</v>
      </c>
      <c r="H12" s="17" t="s">
        <v>2264</v>
      </c>
      <c r="I12" s="51" t="s">
        <v>4</v>
      </c>
    </row>
    <row r="13" spans="1:10" ht="43.5" x14ac:dyDescent="0.35">
      <c r="A13" s="17" t="s">
        <v>98</v>
      </c>
      <c r="B13" s="17" t="s">
        <v>2265</v>
      </c>
      <c r="C13" s="17" t="s">
        <v>1913</v>
      </c>
      <c r="D13" s="17" t="s">
        <v>7</v>
      </c>
      <c r="E13" s="17" t="s">
        <v>2301</v>
      </c>
      <c r="F13" s="17" t="s">
        <v>2266</v>
      </c>
      <c r="G13" s="17" t="s">
        <v>2305</v>
      </c>
      <c r="H13" s="17" t="s">
        <v>2268</v>
      </c>
      <c r="I13" s="51" t="s">
        <v>4</v>
      </c>
    </row>
    <row r="14" spans="1:10" ht="43.5" x14ac:dyDescent="0.35">
      <c r="A14" s="17" t="s">
        <v>105</v>
      </c>
      <c r="B14" s="17" t="s">
        <v>2269</v>
      </c>
      <c r="C14" s="17" t="s">
        <v>1913</v>
      </c>
      <c r="D14" s="17" t="s">
        <v>2270</v>
      </c>
      <c r="E14" s="17" t="s">
        <v>2301</v>
      </c>
      <c r="F14" s="17" t="s">
        <v>2271</v>
      </c>
      <c r="G14" s="17" t="s">
        <v>2272</v>
      </c>
      <c r="H14" s="17" t="s">
        <v>2273</v>
      </c>
      <c r="I14" s="51" t="s">
        <v>4</v>
      </c>
    </row>
    <row r="15" spans="1:10" ht="43.5" x14ac:dyDescent="0.35">
      <c r="A15" s="17" t="s">
        <v>113</v>
      </c>
      <c r="B15" s="17" t="s">
        <v>2274</v>
      </c>
      <c r="C15" s="17" t="s">
        <v>315</v>
      </c>
      <c r="D15" s="17" t="s">
        <v>2275</v>
      </c>
      <c r="E15" s="17" t="s">
        <v>2153</v>
      </c>
      <c r="F15" s="17" t="s">
        <v>2276</v>
      </c>
      <c r="G15" s="17" t="s">
        <v>1764</v>
      </c>
      <c r="H15" s="17" t="s">
        <v>2277</v>
      </c>
      <c r="I15" s="51" t="s">
        <v>4</v>
      </c>
    </row>
    <row r="16" spans="1:10" ht="43.5" x14ac:dyDescent="0.35">
      <c r="A16" s="17" t="s">
        <v>119</v>
      </c>
      <c r="B16" s="17" t="s">
        <v>2306</v>
      </c>
      <c r="C16" s="17" t="s">
        <v>1913</v>
      </c>
      <c r="D16" s="17" t="s">
        <v>1481</v>
      </c>
      <c r="E16" s="17" t="s">
        <v>2307</v>
      </c>
      <c r="F16" s="17" t="s">
        <v>2124</v>
      </c>
      <c r="G16" s="17" t="s">
        <v>2280</v>
      </c>
      <c r="H16" s="17" t="s">
        <v>2308</v>
      </c>
      <c r="I16" s="51" t="s">
        <v>4</v>
      </c>
    </row>
    <row r="17" spans="1:9" ht="43.5" x14ac:dyDescent="0.35">
      <c r="A17" s="17" t="s">
        <v>125</v>
      </c>
      <c r="B17" s="17" t="s">
        <v>2282</v>
      </c>
      <c r="C17" s="17" t="s">
        <v>1579</v>
      </c>
      <c r="D17" s="17" t="s">
        <v>2111</v>
      </c>
      <c r="E17" s="17" t="s">
        <v>2112</v>
      </c>
      <c r="F17" s="17" t="s">
        <v>2283</v>
      </c>
      <c r="G17" s="17" t="s">
        <v>2309</v>
      </c>
      <c r="H17" s="17" t="s">
        <v>2115</v>
      </c>
      <c r="I17" s="51" t="s">
        <v>4</v>
      </c>
    </row>
    <row r="18" spans="1:9" ht="43.5" x14ac:dyDescent="0.35">
      <c r="A18" s="17" t="s">
        <v>132</v>
      </c>
      <c r="B18" s="17" t="s">
        <v>2285</v>
      </c>
      <c r="C18" s="17" t="s">
        <v>1579</v>
      </c>
      <c r="D18" s="17" t="s">
        <v>2117</v>
      </c>
      <c r="E18" s="17" t="s">
        <v>2286</v>
      </c>
      <c r="F18" s="17" t="s">
        <v>2287</v>
      </c>
      <c r="G18" s="17" t="s">
        <v>2310</v>
      </c>
      <c r="H18" s="17" t="s">
        <v>2289</v>
      </c>
      <c r="I18" s="51" t="s">
        <v>4</v>
      </c>
    </row>
    <row r="19" spans="1:9" ht="43.5" x14ac:dyDescent="0.35">
      <c r="A19" s="17" t="s">
        <v>138</v>
      </c>
      <c r="B19" s="17" t="s">
        <v>2290</v>
      </c>
      <c r="C19" s="17" t="s">
        <v>2128</v>
      </c>
      <c r="D19" s="17" t="s">
        <v>2129</v>
      </c>
      <c r="E19" s="17" t="s">
        <v>2291</v>
      </c>
      <c r="F19" s="17" t="s">
        <v>2292</v>
      </c>
      <c r="G19" s="17" t="s">
        <v>2311</v>
      </c>
      <c r="H19" s="17" t="s">
        <v>2294</v>
      </c>
      <c r="I19" s="51" t="s">
        <v>4</v>
      </c>
    </row>
    <row r="20" spans="1:9" x14ac:dyDescent="0.35">
      <c r="A20" s="17"/>
      <c r="B20" s="17"/>
      <c r="C20" s="17"/>
      <c r="D20" s="17"/>
      <c r="E20" s="17"/>
      <c r="F20" s="17"/>
      <c r="G20" s="17"/>
      <c r="H20" s="17"/>
    </row>
    <row r="21" spans="1:9" x14ac:dyDescent="0.35">
      <c r="A21" s="17"/>
      <c r="B21" s="17"/>
      <c r="C21" s="17"/>
      <c r="D21" s="17"/>
      <c r="E21" s="17"/>
      <c r="F21" s="17"/>
      <c r="G21" s="17"/>
      <c r="H21" s="17"/>
    </row>
    <row r="22" spans="1:9" x14ac:dyDescent="0.35">
      <c r="A22" s="17"/>
      <c r="B22" s="17"/>
      <c r="C22" s="17"/>
      <c r="D22" s="17"/>
      <c r="E22" s="17"/>
      <c r="F22" s="17"/>
      <c r="G22" s="17"/>
      <c r="H22" s="17"/>
    </row>
    <row r="23" spans="1:9" x14ac:dyDescent="0.35">
      <c r="A23" s="17"/>
      <c r="B23" s="17"/>
      <c r="C23" s="17"/>
      <c r="D23" s="17"/>
      <c r="E23" s="17"/>
      <c r="F23" s="17"/>
      <c r="G23" s="17"/>
      <c r="H23" s="17"/>
    </row>
    <row r="24" spans="1:9" x14ac:dyDescent="0.35">
      <c r="A24" s="17"/>
      <c r="B24" s="17"/>
      <c r="C24" s="17"/>
      <c r="D24" s="17"/>
      <c r="E24" s="17"/>
      <c r="F24" s="17"/>
      <c r="G24" s="17"/>
      <c r="H24" s="17"/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  <row r="26" spans="1:9" x14ac:dyDescent="0.35">
      <c r="A26" s="17"/>
      <c r="B26" s="17"/>
      <c r="C26" s="17"/>
      <c r="D26" s="17"/>
      <c r="E26" s="17"/>
      <c r="F26" s="17"/>
      <c r="G26" s="17"/>
      <c r="H26" s="17"/>
    </row>
    <row r="27" spans="1:9" x14ac:dyDescent="0.35">
      <c r="A27" s="17"/>
      <c r="B27" s="17"/>
      <c r="C27" s="17"/>
      <c r="D27" s="17"/>
      <c r="E27" s="17"/>
      <c r="F27" s="17"/>
      <c r="G27" s="17"/>
      <c r="H27" s="17"/>
    </row>
    <row r="28" spans="1:9" x14ac:dyDescent="0.35">
      <c r="A28" s="17"/>
      <c r="B28" s="17"/>
      <c r="C28" s="17"/>
      <c r="D28" s="17"/>
      <c r="E28" s="17"/>
      <c r="F28" s="17"/>
      <c r="G28" s="17"/>
      <c r="H28" s="17"/>
    </row>
    <row r="29" spans="1:9" x14ac:dyDescent="0.35">
      <c r="A29" s="17"/>
      <c r="B29" s="17"/>
      <c r="C29" s="17"/>
      <c r="D29" s="17"/>
      <c r="E29" s="17"/>
      <c r="F29" s="17"/>
      <c r="G29" s="17"/>
      <c r="H29" s="17"/>
    </row>
    <row r="30" spans="1:9" x14ac:dyDescent="0.35">
      <c r="A30" s="17"/>
      <c r="B30" s="17"/>
      <c r="C30" s="17"/>
      <c r="D30" s="17"/>
      <c r="E30" s="17"/>
      <c r="F30" s="17"/>
      <c r="G30" s="17"/>
      <c r="H30" s="17"/>
    </row>
    <row r="31" spans="1:9" x14ac:dyDescent="0.35">
      <c r="A31" s="17"/>
      <c r="B31" s="17"/>
      <c r="C31" s="17"/>
      <c r="D31" s="17"/>
      <c r="E31" s="17"/>
      <c r="F31" s="17"/>
      <c r="G31" s="17"/>
      <c r="H31" s="17"/>
    </row>
    <row r="32" spans="1:9" x14ac:dyDescent="0.35">
      <c r="A32" s="17"/>
      <c r="B32" s="17"/>
      <c r="C32" s="17"/>
      <c r="D32" s="17"/>
      <c r="E32" s="17"/>
      <c r="F32" s="17"/>
      <c r="G32" s="17"/>
      <c r="H32" s="17"/>
    </row>
    <row r="33" spans="1:8" x14ac:dyDescent="0.35">
      <c r="A33" s="17"/>
      <c r="B33" s="17"/>
      <c r="C33" s="17"/>
      <c r="D33" s="17"/>
      <c r="E33" s="17"/>
      <c r="F33" s="17"/>
      <c r="G33" s="17"/>
      <c r="H33" s="17"/>
    </row>
    <row r="34" spans="1:8" x14ac:dyDescent="0.35">
      <c r="A34" s="17"/>
      <c r="B34" s="17"/>
      <c r="C34" s="17"/>
      <c r="D34" s="17"/>
      <c r="E34" s="17"/>
      <c r="F34" s="17"/>
      <c r="G34" s="17"/>
      <c r="H34" s="17"/>
    </row>
    <row r="35" spans="1:8" x14ac:dyDescent="0.35">
      <c r="A35" s="17"/>
      <c r="B35" s="17"/>
      <c r="C35" s="17"/>
      <c r="D35" s="17"/>
      <c r="E35" s="17"/>
      <c r="F35" s="17"/>
      <c r="G35" s="17"/>
      <c r="H35" s="17"/>
    </row>
    <row r="36" spans="1:8" x14ac:dyDescent="0.35">
      <c r="A36" s="17"/>
      <c r="B36" s="17"/>
      <c r="C36" s="17"/>
      <c r="D36" s="17"/>
      <c r="E36" s="17"/>
      <c r="F36" s="17"/>
      <c r="G36" s="17"/>
      <c r="H36" s="17"/>
    </row>
    <row r="37" spans="1:8" x14ac:dyDescent="0.35">
      <c r="A37" s="17"/>
      <c r="B37" s="17"/>
      <c r="C37" s="17"/>
      <c r="D37" s="17"/>
      <c r="E37" s="17"/>
      <c r="F37" s="17"/>
      <c r="G37" s="17"/>
      <c r="H37" s="17"/>
    </row>
    <row r="38" spans="1:8" x14ac:dyDescent="0.35">
      <c r="A38" s="17"/>
      <c r="B38" s="17"/>
      <c r="C38" s="17"/>
      <c r="D38" s="17"/>
      <c r="E38" s="17"/>
      <c r="F38" s="17"/>
      <c r="G38" s="17"/>
      <c r="H38" s="17"/>
    </row>
    <row r="39" spans="1:8" x14ac:dyDescent="0.35">
      <c r="A39" s="17"/>
      <c r="B39" s="17"/>
      <c r="C39" s="17"/>
      <c r="D39" s="17"/>
      <c r="E39" s="17"/>
      <c r="F39" s="17"/>
      <c r="G39" s="17"/>
      <c r="H39" s="17"/>
    </row>
    <row r="40" spans="1:8" x14ac:dyDescent="0.35">
      <c r="A40" s="17"/>
      <c r="B40" s="17"/>
      <c r="C40" s="17"/>
      <c r="D40" s="17"/>
      <c r="E40" s="17"/>
      <c r="F40" s="17"/>
      <c r="G40" s="17"/>
      <c r="H40" s="17"/>
    </row>
    <row r="41" spans="1:8" x14ac:dyDescent="0.35">
      <c r="A41" s="17"/>
      <c r="B41" s="17"/>
      <c r="C41" s="17"/>
      <c r="D41" s="17"/>
      <c r="E41" s="17"/>
      <c r="F41" s="17"/>
      <c r="G41" s="17"/>
      <c r="H41" s="17"/>
    </row>
    <row r="42" spans="1:8" x14ac:dyDescent="0.35">
      <c r="A42" s="17"/>
      <c r="B42" s="17"/>
      <c r="C42" s="17"/>
      <c r="D42" s="17"/>
      <c r="E42" s="17"/>
      <c r="F42" s="17"/>
      <c r="G42" s="17"/>
      <c r="H42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27" priority="6" operator="containsText" text="Passed">
      <formula>NOT(ISERROR(SEARCH(("Passed"),(G1))))</formula>
    </cfRule>
    <cfRule type="containsText" dxfId="126" priority="7" operator="containsText" text="Failed">
      <formula>NOT(ISERROR(SEARCH(("Failed"),(G1))))</formula>
    </cfRule>
    <cfRule type="containsText" dxfId="125" priority="8" operator="containsText" text="Incomplete">
      <formula>NOT(ISERROR(SEARCH(("Incomplete"),(G1))))</formula>
    </cfRule>
  </conditionalFormatting>
  <conditionalFormatting sqref="I6:I19">
    <cfRule type="containsText" dxfId="124" priority="1" operator="containsText" text="Passed">
      <formula>NOT(ISERROR(SEARCH(("Passed"),(I6))))</formula>
    </cfRule>
    <cfRule type="containsText" dxfId="123" priority="2" operator="containsText" text="Failed">
      <formula>NOT(ISERROR(SEARCH(("Failed"),(I6))))</formula>
    </cfRule>
    <cfRule type="containsText" dxfId="122" priority="3" operator="containsText" text="Bug ok">
      <formula>NOT(ISERROR(SEARCH(("Bug ok"),(I6))))</formula>
    </cfRule>
    <cfRule type="containsText" dxfId="121" priority="4" operator="containsText" text="Blocked">
      <formula>NOT(ISERROR(SEARCH(("Blocked"),(I6))))</formula>
    </cfRule>
    <cfRule type="containsText" dxfId="120" priority="5" operator="containsText" text="Cannot run">
      <formula>NOT(ISERROR(SEARCH(("Cannot run"),(J6))))</formula>
    </cfRule>
  </conditionalFormatting>
  <dataValidations count="1">
    <dataValidation type="list" allowBlank="1" showErrorMessage="1" sqref="I6:I19" xr:uid="{9EF85839-D129-4FFE-A115-F66D1E443D81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EF08-1780-4BE9-984A-EA83970F6C61}">
  <dimension ref="A1:J24"/>
  <sheetViews>
    <sheetView workbookViewId="0">
      <selection activeCell="I5" sqref="I5:I6"/>
    </sheetView>
  </sheetViews>
  <sheetFormatPr defaultRowHeight="14.5" x14ac:dyDescent="0.35"/>
  <cols>
    <col min="1" max="1" width="38.1796875" customWidth="1"/>
    <col min="2" max="10" width="27.7265625" customWidth="1"/>
  </cols>
  <sheetData>
    <row r="1" spans="1:10" ht="15.5" x14ac:dyDescent="0.35">
      <c r="A1" s="76"/>
      <c r="B1" s="85" t="s">
        <v>2</v>
      </c>
      <c r="C1" s="78"/>
      <c r="D1" s="79" t="s">
        <v>2134</v>
      </c>
      <c r="E1" s="101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COUNTIF(A1:A209,"TC-??")</f>
        <v>19</v>
      </c>
      <c r="H2" s="14">
        <f>COUNTIF(I4:I844,"Đạt")</f>
        <v>19</v>
      </c>
      <c r="I2" s="6">
        <f>COUNTIF(G4:G871,"Không Đạt")</f>
        <v>0</v>
      </c>
      <c r="J2" s="6">
        <f>COUNTIF(G4:G871,"Chưa Xong")</f>
        <v>0</v>
      </c>
    </row>
    <row r="3" spans="1:10" ht="18" x14ac:dyDescent="0.35">
      <c r="A3" s="76"/>
      <c r="B3" s="85" t="s">
        <v>55</v>
      </c>
      <c r="C3" s="78"/>
      <c r="D3" s="88">
        <v>46002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29" x14ac:dyDescent="0.35">
      <c r="A6" s="17" t="s">
        <v>65</v>
      </c>
      <c r="B6" s="17" t="s">
        <v>2135</v>
      </c>
      <c r="C6" s="17" t="s">
        <v>2033</v>
      </c>
      <c r="D6" s="17" t="s">
        <v>2136</v>
      </c>
      <c r="E6" s="17" t="s">
        <v>2137</v>
      </c>
      <c r="F6" s="17" t="s">
        <v>2138</v>
      </c>
      <c r="G6" s="17" t="s">
        <v>2139</v>
      </c>
      <c r="H6" s="17" t="s">
        <v>2140</v>
      </c>
      <c r="I6" s="51" t="s">
        <v>4</v>
      </c>
    </row>
    <row r="7" spans="1:10" ht="29" x14ac:dyDescent="0.35">
      <c r="A7" s="17" t="s">
        <v>72</v>
      </c>
      <c r="B7" s="17" t="s">
        <v>2141</v>
      </c>
      <c r="C7" s="17" t="s">
        <v>2033</v>
      </c>
      <c r="D7" s="17" t="s">
        <v>2142</v>
      </c>
      <c r="E7" s="17" t="s">
        <v>2143</v>
      </c>
      <c r="F7" s="17" t="s">
        <v>2144</v>
      </c>
      <c r="G7" s="17" t="s">
        <v>2145</v>
      </c>
      <c r="H7" s="17" t="s">
        <v>2146</v>
      </c>
      <c r="I7" s="51" t="s">
        <v>4</v>
      </c>
    </row>
    <row r="8" spans="1:10" ht="29" x14ac:dyDescent="0.35">
      <c r="A8" s="17" t="s">
        <v>77</v>
      </c>
      <c r="B8" s="17" t="s">
        <v>2147</v>
      </c>
      <c r="C8" s="17" t="s">
        <v>2033</v>
      </c>
      <c r="D8" s="17" t="s">
        <v>2142</v>
      </c>
      <c r="E8" s="17" t="s">
        <v>2148</v>
      </c>
      <c r="F8" s="17" t="s">
        <v>2149</v>
      </c>
      <c r="G8" s="17" t="s">
        <v>2150</v>
      </c>
      <c r="H8" s="17" t="s">
        <v>2151</v>
      </c>
      <c r="I8" s="51" t="s">
        <v>4</v>
      </c>
    </row>
    <row r="9" spans="1:10" ht="29" x14ac:dyDescent="0.35">
      <c r="A9" s="17" t="s">
        <v>83</v>
      </c>
      <c r="B9" s="17" t="s">
        <v>2152</v>
      </c>
      <c r="C9" s="17" t="s">
        <v>315</v>
      </c>
      <c r="D9" s="17" t="s">
        <v>314</v>
      </c>
      <c r="E9" s="17" t="s">
        <v>2153</v>
      </c>
      <c r="F9" s="17" t="s">
        <v>2154</v>
      </c>
      <c r="G9" s="17" t="s">
        <v>1375</v>
      </c>
      <c r="H9" s="17" t="s">
        <v>2155</v>
      </c>
      <c r="I9" s="51" t="s">
        <v>4</v>
      </c>
    </row>
    <row r="10" spans="1:10" ht="29" x14ac:dyDescent="0.35">
      <c r="A10" s="17" t="s">
        <v>88</v>
      </c>
      <c r="B10" s="17" t="s">
        <v>2156</v>
      </c>
      <c r="C10" s="17" t="s">
        <v>2033</v>
      </c>
      <c r="D10" s="17" t="s">
        <v>2157</v>
      </c>
      <c r="E10" s="17" t="s">
        <v>2158</v>
      </c>
      <c r="F10" s="17" t="s">
        <v>2159</v>
      </c>
      <c r="G10" s="17" t="s">
        <v>2160</v>
      </c>
      <c r="H10" s="17" t="s">
        <v>2161</v>
      </c>
      <c r="I10" s="51" t="s">
        <v>4</v>
      </c>
    </row>
    <row r="11" spans="1:10" ht="29" x14ac:dyDescent="0.35">
      <c r="A11" s="17" t="s">
        <v>233</v>
      </c>
      <c r="B11" s="17" t="s">
        <v>2162</v>
      </c>
      <c r="C11" s="17" t="s">
        <v>2033</v>
      </c>
      <c r="D11" s="17" t="s">
        <v>1544</v>
      </c>
      <c r="E11" s="17" t="s">
        <v>2163</v>
      </c>
      <c r="F11" s="17" t="s">
        <v>2164</v>
      </c>
      <c r="G11" s="17" t="s">
        <v>2165</v>
      </c>
      <c r="H11" s="17" t="s">
        <v>2166</v>
      </c>
      <c r="I11" s="51" t="s">
        <v>4</v>
      </c>
    </row>
    <row r="12" spans="1:10" ht="29" x14ac:dyDescent="0.35">
      <c r="A12" s="17" t="s">
        <v>93</v>
      </c>
      <c r="B12" s="17" t="s">
        <v>2167</v>
      </c>
      <c r="C12" s="17" t="s">
        <v>2033</v>
      </c>
      <c r="D12" s="17" t="s">
        <v>1458</v>
      </c>
      <c r="E12" s="17" t="s">
        <v>1331</v>
      </c>
      <c r="F12" s="17" t="s">
        <v>2168</v>
      </c>
      <c r="G12" s="17" t="s">
        <v>2169</v>
      </c>
      <c r="H12" s="17" t="s">
        <v>2170</v>
      </c>
      <c r="I12" s="51" t="s">
        <v>4</v>
      </c>
    </row>
    <row r="13" spans="1:10" ht="29" x14ac:dyDescent="0.35">
      <c r="A13" s="17" t="s">
        <v>98</v>
      </c>
      <c r="B13" s="17" t="s">
        <v>2171</v>
      </c>
      <c r="C13" s="17" t="s">
        <v>1853</v>
      </c>
      <c r="D13" s="17" t="s">
        <v>2083</v>
      </c>
      <c r="E13" s="17" t="s">
        <v>2172</v>
      </c>
      <c r="F13" s="17" t="s">
        <v>2173</v>
      </c>
      <c r="G13" s="17" t="s">
        <v>2174</v>
      </c>
      <c r="H13" s="17" t="s">
        <v>2175</v>
      </c>
      <c r="I13" s="51" t="s">
        <v>4</v>
      </c>
    </row>
    <row r="14" spans="1:10" ht="29" x14ac:dyDescent="0.35">
      <c r="A14" s="17" t="s">
        <v>105</v>
      </c>
      <c r="B14" s="17" t="s">
        <v>2176</v>
      </c>
      <c r="C14" s="17" t="s">
        <v>2177</v>
      </c>
      <c r="D14" s="17" t="s">
        <v>2034</v>
      </c>
      <c r="E14" s="17" t="s">
        <v>1859</v>
      </c>
      <c r="F14" s="17" t="s">
        <v>2178</v>
      </c>
      <c r="G14" s="17" t="s">
        <v>2179</v>
      </c>
      <c r="H14" s="17" t="s">
        <v>2180</v>
      </c>
      <c r="I14" s="51" t="s">
        <v>4</v>
      </c>
    </row>
    <row r="15" spans="1:10" ht="29" x14ac:dyDescent="0.35">
      <c r="A15" s="17" t="s">
        <v>113</v>
      </c>
      <c r="B15" s="17" t="s">
        <v>2181</v>
      </c>
      <c r="C15" s="17" t="s">
        <v>2177</v>
      </c>
      <c r="D15" s="17" t="s">
        <v>2182</v>
      </c>
      <c r="E15" s="17" t="s">
        <v>2183</v>
      </c>
      <c r="F15" s="17" t="s">
        <v>2184</v>
      </c>
      <c r="G15" s="17" t="s">
        <v>2185</v>
      </c>
      <c r="H15" s="17" t="s">
        <v>2186</v>
      </c>
      <c r="I15" s="51" t="s">
        <v>4</v>
      </c>
    </row>
    <row r="16" spans="1:10" ht="29" x14ac:dyDescent="0.35">
      <c r="A16" s="17" t="s">
        <v>119</v>
      </c>
      <c r="B16" s="17" t="s">
        <v>2187</v>
      </c>
      <c r="C16" s="17" t="s">
        <v>2188</v>
      </c>
      <c r="D16" s="17" t="s">
        <v>2189</v>
      </c>
      <c r="E16" s="17" t="s">
        <v>2190</v>
      </c>
      <c r="F16" s="17" t="s">
        <v>2095</v>
      </c>
      <c r="G16" s="17" t="s">
        <v>2191</v>
      </c>
      <c r="H16" s="17" t="s">
        <v>2192</v>
      </c>
      <c r="I16" s="51" t="s">
        <v>4</v>
      </c>
    </row>
    <row r="17" spans="1:9" ht="29" x14ac:dyDescent="0.35">
      <c r="A17" s="17" t="s">
        <v>125</v>
      </c>
      <c r="B17" s="17" t="s">
        <v>2193</v>
      </c>
      <c r="C17" s="17" t="s">
        <v>2188</v>
      </c>
      <c r="D17" s="17" t="s">
        <v>2194</v>
      </c>
      <c r="E17" s="17" t="s">
        <v>2195</v>
      </c>
      <c r="F17" s="17" t="s">
        <v>2194</v>
      </c>
      <c r="G17" s="17" t="s">
        <v>2196</v>
      </c>
      <c r="H17" s="17" t="s">
        <v>2197</v>
      </c>
      <c r="I17" s="51" t="s">
        <v>4</v>
      </c>
    </row>
    <row r="18" spans="1:9" ht="29" x14ac:dyDescent="0.35">
      <c r="A18" s="17" t="s">
        <v>132</v>
      </c>
      <c r="B18" s="17" t="s">
        <v>2198</v>
      </c>
      <c r="C18" s="17" t="s">
        <v>2188</v>
      </c>
      <c r="D18" s="17" t="s">
        <v>2199</v>
      </c>
      <c r="E18" s="17" t="s">
        <v>2200</v>
      </c>
      <c r="F18" s="17" t="s">
        <v>2201</v>
      </c>
      <c r="G18" s="17" t="s">
        <v>2202</v>
      </c>
      <c r="H18" s="17" t="s">
        <v>2203</v>
      </c>
      <c r="I18" s="51" t="s">
        <v>4</v>
      </c>
    </row>
    <row r="19" spans="1:9" ht="29" x14ac:dyDescent="0.35">
      <c r="A19" s="17" t="s">
        <v>138</v>
      </c>
      <c r="B19" s="17" t="s">
        <v>2204</v>
      </c>
      <c r="C19" s="17" t="s">
        <v>2188</v>
      </c>
      <c r="D19" s="17" t="s">
        <v>1579</v>
      </c>
      <c r="E19" s="17" t="s">
        <v>2205</v>
      </c>
      <c r="F19" s="17" t="s">
        <v>2206</v>
      </c>
      <c r="G19" s="17" t="s">
        <v>2207</v>
      </c>
      <c r="H19" s="17" t="s">
        <v>2208</v>
      </c>
      <c r="I19" s="51" t="s">
        <v>4</v>
      </c>
    </row>
    <row r="20" spans="1:9" ht="29" x14ac:dyDescent="0.35">
      <c r="A20" s="17" t="s">
        <v>144</v>
      </c>
      <c r="B20" s="17" t="s">
        <v>2209</v>
      </c>
      <c r="C20" s="17" t="s">
        <v>2188</v>
      </c>
      <c r="D20" s="17" t="s">
        <v>866</v>
      </c>
      <c r="E20" s="17" t="s">
        <v>2210</v>
      </c>
      <c r="F20" s="17" t="s">
        <v>2211</v>
      </c>
      <c r="G20" s="17" t="s">
        <v>2212</v>
      </c>
      <c r="H20" s="17" t="s">
        <v>868</v>
      </c>
      <c r="I20" s="51" t="s">
        <v>4</v>
      </c>
    </row>
    <row r="21" spans="1:9" ht="29" x14ac:dyDescent="0.35">
      <c r="A21" s="17" t="s">
        <v>150</v>
      </c>
      <c r="B21" s="17" t="s">
        <v>2213</v>
      </c>
      <c r="C21" s="17" t="s">
        <v>2188</v>
      </c>
      <c r="D21" s="17" t="s">
        <v>866</v>
      </c>
      <c r="E21" s="17" t="s">
        <v>2214</v>
      </c>
      <c r="F21" s="17" t="s">
        <v>1268</v>
      </c>
      <c r="G21" s="17" t="s">
        <v>2215</v>
      </c>
      <c r="H21" s="17" t="s">
        <v>2216</v>
      </c>
      <c r="I21" s="51" t="s">
        <v>4</v>
      </c>
    </row>
    <row r="22" spans="1:9" ht="29" x14ac:dyDescent="0.35">
      <c r="A22" s="17" t="s">
        <v>157</v>
      </c>
      <c r="B22" s="17" t="s">
        <v>2217</v>
      </c>
      <c r="C22" s="17" t="s">
        <v>2218</v>
      </c>
      <c r="D22" s="17" t="s">
        <v>224</v>
      </c>
      <c r="E22" s="17" t="s">
        <v>1859</v>
      </c>
      <c r="F22" s="17" t="s">
        <v>2219</v>
      </c>
      <c r="G22" s="17" t="s">
        <v>2220</v>
      </c>
      <c r="H22" s="17" t="s">
        <v>2221</v>
      </c>
      <c r="I22" s="51" t="s">
        <v>4</v>
      </c>
    </row>
    <row r="23" spans="1:9" ht="29" x14ac:dyDescent="0.35">
      <c r="A23" s="17" t="s">
        <v>163</v>
      </c>
      <c r="B23" s="17" t="s">
        <v>2222</v>
      </c>
      <c r="C23" s="17" t="s">
        <v>368</v>
      </c>
      <c r="D23" s="17" t="s">
        <v>2223</v>
      </c>
      <c r="E23" s="17" t="s">
        <v>2224</v>
      </c>
      <c r="F23" s="17" t="s">
        <v>2225</v>
      </c>
      <c r="G23" s="17" t="s">
        <v>2226</v>
      </c>
      <c r="H23" s="17" t="s">
        <v>2227</v>
      </c>
      <c r="I23" s="51" t="s">
        <v>4</v>
      </c>
    </row>
    <row r="24" spans="1:9" ht="29" x14ac:dyDescent="0.35">
      <c r="A24" s="17" t="s">
        <v>299</v>
      </c>
      <c r="B24" s="17" t="s">
        <v>2228</v>
      </c>
      <c r="C24" s="17" t="s">
        <v>368</v>
      </c>
      <c r="D24" s="17" t="s">
        <v>1886</v>
      </c>
      <c r="E24" s="17" t="s">
        <v>2229</v>
      </c>
      <c r="F24" s="17" t="s">
        <v>1903</v>
      </c>
      <c r="G24" s="17" t="s">
        <v>1904</v>
      </c>
      <c r="H24" s="17" t="s">
        <v>2230</v>
      </c>
      <c r="I24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19" priority="6" operator="containsText" text="Passed">
      <formula>NOT(ISERROR(SEARCH(("Passed"),(G1))))</formula>
    </cfRule>
    <cfRule type="containsText" dxfId="118" priority="7" operator="containsText" text="Failed">
      <formula>NOT(ISERROR(SEARCH(("Failed"),(G1))))</formula>
    </cfRule>
    <cfRule type="containsText" dxfId="117" priority="8" operator="containsText" text="Incomplete">
      <formula>NOT(ISERROR(SEARCH(("Incomplete"),(G1))))</formula>
    </cfRule>
  </conditionalFormatting>
  <conditionalFormatting sqref="I6:I24">
    <cfRule type="containsText" dxfId="116" priority="1" operator="containsText" text="Passed">
      <formula>NOT(ISERROR(SEARCH(("Passed"),(I6))))</formula>
    </cfRule>
    <cfRule type="containsText" dxfId="115" priority="2" operator="containsText" text="Failed">
      <formula>NOT(ISERROR(SEARCH(("Failed"),(I6))))</formula>
    </cfRule>
    <cfRule type="containsText" dxfId="114" priority="3" operator="containsText" text="Bug ok">
      <formula>NOT(ISERROR(SEARCH(("Bug ok"),(I6))))</formula>
    </cfRule>
    <cfRule type="containsText" dxfId="113" priority="4" operator="containsText" text="Blocked">
      <formula>NOT(ISERROR(SEARCH(("Blocked"),(I6))))</formula>
    </cfRule>
    <cfRule type="containsText" dxfId="112" priority="5" operator="containsText" text="Cannot run">
      <formula>NOT(ISERROR(SEARCH(("Cannot run"),(J6))))</formula>
    </cfRule>
  </conditionalFormatting>
  <dataValidations count="1">
    <dataValidation type="list" allowBlank="1" showErrorMessage="1" sqref="I6:I24" xr:uid="{92AB607F-9B2B-4446-83EF-D6D49A97C6A3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87DC-6802-4B2C-9903-1C893DE89CB0}">
  <dimension ref="A1:J53"/>
  <sheetViews>
    <sheetView topLeftCell="D1" workbookViewId="0">
      <selection activeCell="H3" sqref="H3"/>
    </sheetView>
  </sheetViews>
  <sheetFormatPr defaultRowHeight="14.5" x14ac:dyDescent="0.35"/>
  <cols>
    <col min="1" max="1" width="38.54296875" customWidth="1"/>
    <col min="2" max="4" width="27.81640625" customWidth="1"/>
    <col min="5" max="5" width="39.54296875" customWidth="1"/>
    <col min="6" max="6" width="45" customWidth="1"/>
    <col min="7" max="7" width="47.7265625" customWidth="1"/>
    <col min="8" max="8" width="39.7265625" customWidth="1"/>
    <col min="9" max="10" width="27.81640625" customWidth="1"/>
  </cols>
  <sheetData>
    <row r="1" spans="1:10" ht="15.75" customHeight="1" x14ac:dyDescent="0.35">
      <c r="A1" s="76"/>
      <c r="B1" s="85" t="s">
        <v>2</v>
      </c>
      <c r="C1" s="78"/>
      <c r="D1" s="102" t="s">
        <v>2312</v>
      </c>
      <c r="E1" s="103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COUNTIF(A1:A195,"TC-??")</f>
        <v>15</v>
      </c>
      <c r="H2" s="14">
        <f>COUNTIF(I4:I844,"Đạt")</f>
        <v>15</v>
      </c>
      <c r="I2" s="6">
        <f>COUNTIF(G4:G857,"Không Đạt")</f>
        <v>0</v>
      </c>
      <c r="J2" s="6">
        <f>COUNTIF(G4:G857,"Chưa Xong")</f>
        <v>0</v>
      </c>
    </row>
    <row r="3" spans="1:10" ht="18" x14ac:dyDescent="0.35">
      <c r="A3" s="76"/>
      <c r="B3" s="85" t="s">
        <v>55</v>
      </c>
      <c r="C3" s="78"/>
      <c r="D3" s="88">
        <v>46002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2313</v>
      </c>
      <c r="C6" s="17" t="s">
        <v>1913</v>
      </c>
      <c r="D6" s="17" t="s">
        <v>2068</v>
      </c>
      <c r="E6" s="17" t="s">
        <v>2314</v>
      </c>
      <c r="F6" s="17" t="s">
        <v>2315</v>
      </c>
      <c r="G6" s="17" t="s">
        <v>2316</v>
      </c>
      <c r="H6" s="17" t="s">
        <v>2317</v>
      </c>
      <c r="I6" s="51" t="s">
        <v>4</v>
      </c>
    </row>
    <row r="7" spans="1:10" ht="29" x14ac:dyDescent="0.35">
      <c r="A7" s="17" t="s">
        <v>72</v>
      </c>
      <c r="B7" s="17" t="s">
        <v>2237</v>
      </c>
      <c r="C7" s="17" t="s">
        <v>1913</v>
      </c>
      <c r="D7" s="17" t="s">
        <v>2238</v>
      </c>
      <c r="E7" s="17" t="s">
        <v>2318</v>
      </c>
      <c r="F7" s="17" t="s">
        <v>2319</v>
      </c>
      <c r="G7" s="17" t="s">
        <v>2320</v>
      </c>
      <c r="H7" s="17" t="s">
        <v>2321</v>
      </c>
      <c r="I7" s="51" t="s">
        <v>4</v>
      </c>
    </row>
    <row r="8" spans="1:10" ht="29" x14ac:dyDescent="0.35">
      <c r="A8" s="17" t="s">
        <v>77</v>
      </c>
      <c r="B8" s="17" t="s">
        <v>2242</v>
      </c>
      <c r="C8" s="17" t="s">
        <v>1913</v>
      </c>
      <c r="D8" s="17" t="s">
        <v>2057</v>
      </c>
      <c r="E8" s="17" t="s">
        <v>2322</v>
      </c>
      <c r="F8" s="17" t="s">
        <v>2243</v>
      </c>
      <c r="G8" s="17" t="s">
        <v>2244</v>
      </c>
      <c r="H8" s="17" t="s">
        <v>2242</v>
      </c>
      <c r="I8" s="51" t="s">
        <v>4</v>
      </c>
    </row>
    <row r="9" spans="1:10" ht="29" x14ac:dyDescent="0.35">
      <c r="A9" s="17" t="s">
        <v>83</v>
      </c>
      <c r="B9" s="17" t="s">
        <v>2323</v>
      </c>
      <c r="C9" s="17" t="s">
        <v>1913</v>
      </c>
      <c r="D9" s="17" t="s">
        <v>2089</v>
      </c>
      <c r="E9" s="17" t="s">
        <v>2324</v>
      </c>
      <c r="F9" s="17" t="s">
        <v>2325</v>
      </c>
      <c r="G9" s="17" t="s">
        <v>2326</v>
      </c>
      <c r="H9" s="17" t="s">
        <v>2327</v>
      </c>
      <c r="I9" s="51" t="s">
        <v>4</v>
      </c>
    </row>
    <row r="10" spans="1:10" ht="29" x14ac:dyDescent="0.35">
      <c r="A10" s="17" t="s">
        <v>88</v>
      </c>
      <c r="B10" s="17" t="s">
        <v>2328</v>
      </c>
      <c r="C10" s="17" t="s">
        <v>1913</v>
      </c>
      <c r="D10" s="17" t="s">
        <v>2095</v>
      </c>
      <c r="E10" s="17" t="s">
        <v>2250</v>
      </c>
      <c r="F10" s="17" t="s">
        <v>2251</v>
      </c>
      <c r="G10" s="17" t="s">
        <v>2252</v>
      </c>
      <c r="H10" s="17" t="s">
        <v>2329</v>
      </c>
      <c r="I10" s="51" t="s">
        <v>4</v>
      </c>
    </row>
    <row r="11" spans="1:10" ht="29" x14ac:dyDescent="0.35">
      <c r="A11" s="17" t="s">
        <v>233</v>
      </c>
      <c r="B11" s="17" t="s">
        <v>2330</v>
      </c>
      <c r="C11" s="17" t="s">
        <v>1913</v>
      </c>
      <c r="D11" s="17" t="s">
        <v>2331</v>
      </c>
      <c r="E11" s="17" t="s">
        <v>2332</v>
      </c>
      <c r="F11" s="17" t="s">
        <v>2333</v>
      </c>
      <c r="G11" s="17" t="s">
        <v>2334</v>
      </c>
      <c r="H11" s="17" t="s">
        <v>2335</v>
      </c>
      <c r="I11" s="51" t="s">
        <v>4</v>
      </c>
    </row>
    <row r="12" spans="1:10" ht="43.5" x14ac:dyDescent="0.35">
      <c r="A12" s="17" t="s">
        <v>93</v>
      </c>
      <c r="B12" s="17" t="s">
        <v>2336</v>
      </c>
      <c r="C12" s="17" t="s">
        <v>1913</v>
      </c>
      <c r="D12" s="17" t="s">
        <v>2337</v>
      </c>
      <c r="E12" s="17" t="s">
        <v>302</v>
      </c>
      <c r="F12" s="17" t="s">
        <v>2338</v>
      </c>
      <c r="G12" s="17" t="s">
        <v>2339</v>
      </c>
      <c r="H12" s="17" t="s">
        <v>2340</v>
      </c>
      <c r="I12" s="51" t="s">
        <v>4</v>
      </c>
    </row>
    <row r="13" spans="1:10" ht="29" x14ac:dyDescent="0.35">
      <c r="A13" s="17" t="s">
        <v>98</v>
      </c>
      <c r="B13" s="17" t="s">
        <v>2341</v>
      </c>
      <c r="C13" s="17" t="s">
        <v>1913</v>
      </c>
      <c r="D13" s="17" t="s">
        <v>2337</v>
      </c>
      <c r="E13" s="17" t="s">
        <v>302</v>
      </c>
      <c r="F13" s="17" t="s">
        <v>2342</v>
      </c>
      <c r="G13" s="17" t="s">
        <v>2343</v>
      </c>
      <c r="H13" s="17" t="s">
        <v>2344</v>
      </c>
      <c r="I13" s="51" t="s">
        <v>4</v>
      </c>
    </row>
    <row r="14" spans="1:10" ht="58" x14ac:dyDescent="0.35">
      <c r="A14" s="17" t="s">
        <v>105</v>
      </c>
      <c r="B14" s="17" t="s">
        <v>2345</v>
      </c>
      <c r="C14" s="17" t="s">
        <v>1913</v>
      </c>
      <c r="D14" s="17" t="s">
        <v>1387</v>
      </c>
      <c r="E14" s="17" t="s">
        <v>2346</v>
      </c>
      <c r="F14" s="17" t="s">
        <v>2347</v>
      </c>
      <c r="G14" s="17" t="s">
        <v>2348</v>
      </c>
      <c r="H14" s="17" t="s">
        <v>2349</v>
      </c>
      <c r="I14" s="51" t="s">
        <v>4</v>
      </c>
    </row>
    <row r="15" spans="1:10" ht="29" x14ac:dyDescent="0.35">
      <c r="A15" s="17" t="s">
        <v>113</v>
      </c>
      <c r="B15" s="17" t="s">
        <v>2350</v>
      </c>
      <c r="C15" s="17" t="s">
        <v>1913</v>
      </c>
      <c r="D15" s="17" t="s">
        <v>2260</v>
      </c>
      <c r="E15" s="17" t="s">
        <v>2322</v>
      </c>
      <c r="F15" s="17" t="s">
        <v>2262</v>
      </c>
      <c r="G15" s="17" t="s">
        <v>2351</v>
      </c>
      <c r="H15" s="17" t="s">
        <v>2264</v>
      </c>
      <c r="I15" s="51" t="s">
        <v>4</v>
      </c>
    </row>
    <row r="16" spans="1:10" ht="43.5" x14ac:dyDescent="0.35">
      <c r="A16" s="17" t="s">
        <v>119</v>
      </c>
      <c r="B16" s="17" t="s">
        <v>2352</v>
      </c>
      <c r="C16" s="17" t="s">
        <v>1913</v>
      </c>
      <c r="D16" s="17" t="s">
        <v>7</v>
      </c>
      <c r="E16" s="17" t="s">
        <v>2353</v>
      </c>
      <c r="F16" s="17" t="s">
        <v>2354</v>
      </c>
      <c r="G16" s="17" t="s">
        <v>2267</v>
      </c>
      <c r="H16" s="17" t="s">
        <v>2355</v>
      </c>
      <c r="I16" s="51" t="s">
        <v>4</v>
      </c>
    </row>
    <row r="17" spans="1:9" ht="29" x14ac:dyDescent="0.35">
      <c r="A17" s="17" t="s">
        <v>125</v>
      </c>
      <c r="B17" s="17" t="s">
        <v>2274</v>
      </c>
      <c r="C17" s="17" t="s">
        <v>315</v>
      </c>
      <c r="D17" s="17" t="s">
        <v>2275</v>
      </c>
      <c r="E17" s="17" t="s">
        <v>2153</v>
      </c>
      <c r="F17" s="17" t="s">
        <v>2356</v>
      </c>
      <c r="G17" s="17" t="s">
        <v>1764</v>
      </c>
      <c r="H17" s="17" t="s">
        <v>2357</v>
      </c>
      <c r="I17" s="51" t="s">
        <v>4</v>
      </c>
    </row>
    <row r="18" spans="1:9" ht="29" x14ac:dyDescent="0.35">
      <c r="A18" s="17" t="s">
        <v>132</v>
      </c>
      <c r="B18" s="17" t="s">
        <v>2358</v>
      </c>
      <c r="C18" s="17" t="s">
        <v>1913</v>
      </c>
      <c r="D18" s="17" t="s">
        <v>1481</v>
      </c>
      <c r="E18" s="17" t="s">
        <v>2322</v>
      </c>
      <c r="F18" s="17" t="s">
        <v>2359</v>
      </c>
      <c r="G18" s="17" t="s">
        <v>2280</v>
      </c>
      <c r="H18" s="17" t="s">
        <v>2360</v>
      </c>
      <c r="I18" s="51" t="s">
        <v>4</v>
      </c>
    </row>
    <row r="19" spans="1:9" ht="29" x14ac:dyDescent="0.35">
      <c r="A19" s="17" t="s">
        <v>138</v>
      </c>
      <c r="B19" s="17" t="s">
        <v>2361</v>
      </c>
      <c r="C19" s="17" t="s">
        <v>1579</v>
      </c>
      <c r="D19" s="17" t="s">
        <v>2362</v>
      </c>
      <c r="E19" s="17" t="s">
        <v>2363</v>
      </c>
      <c r="F19" s="17" t="s">
        <v>2364</v>
      </c>
      <c r="G19" s="17" t="s">
        <v>2365</v>
      </c>
      <c r="H19" s="17" t="s">
        <v>2366</v>
      </c>
      <c r="I19" s="51" t="s">
        <v>4</v>
      </c>
    </row>
    <row r="20" spans="1:9" ht="29" x14ac:dyDescent="0.35">
      <c r="A20" s="17" t="s">
        <v>144</v>
      </c>
      <c r="B20" s="17" t="s">
        <v>2367</v>
      </c>
      <c r="C20" s="17" t="s">
        <v>1471</v>
      </c>
      <c r="D20" s="17" t="s">
        <v>2368</v>
      </c>
      <c r="E20" s="17" t="s">
        <v>2318</v>
      </c>
      <c r="F20" s="17" t="s">
        <v>2369</v>
      </c>
      <c r="G20" s="17" t="s">
        <v>2370</v>
      </c>
      <c r="H20" s="17" t="s">
        <v>2115</v>
      </c>
      <c r="I20" s="51" t="s">
        <v>4</v>
      </c>
    </row>
    <row r="21" spans="1:9" x14ac:dyDescent="0.35">
      <c r="A21" s="17"/>
      <c r="B21" s="17"/>
      <c r="C21" s="17"/>
      <c r="D21" s="17"/>
      <c r="E21" s="17"/>
      <c r="F21" s="17"/>
      <c r="G21" s="17"/>
      <c r="H21" s="17"/>
    </row>
    <row r="22" spans="1:9" x14ac:dyDescent="0.35">
      <c r="A22" s="17"/>
      <c r="B22" s="17"/>
      <c r="C22" s="17"/>
      <c r="D22" s="17"/>
      <c r="E22" s="17"/>
      <c r="F22" s="17"/>
      <c r="G22" s="17"/>
      <c r="H22" s="17"/>
    </row>
    <row r="23" spans="1:9" x14ac:dyDescent="0.35">
      <c r="A23" s="17"/>
      <c r="B23" s="17"/>
      <c r="C23" s="17"/>
      <c r="D23" s="17"/>
      <c r="E23" s="17"/>
      <c r="F23" s="17"/>
      <c r="G23" s="17"/>
      <c r="H23" s="17"/>
    </row>
    <row r="24" spans="1:9" x14ac:dyDescent="0.35">
      <c r="A24" s="17"/>
      <c r="B24" s="17"/>
      <c r="C24" s="17"/>
      <c r="D24" s="17"/>
      <c r="E24" s="17"/>
      <c r="F24" s="17"/>
      <c r="G24" s="17"/>
      <c r="H24" s="17"/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  <row r="26" spans="1:9" x14ac:dyDescent="0.35">
      <c r="A26" s="17"/>
      <c r="B26" s="17"/>
      <c r="C26" s="17"/>
      <c r="D26" s="17"/>
      <c r="E26" s="17"/>
      <c r="F26" s="17"/>
      <c r="G26" s="17"/>
      <c r="H26" s="17"/>
    </row>
    <row r="27" spans="1:9" x14ac:dyDescent="0.35">
      <c r="A27" s="17"/>
      <c r="B27" s="17"/>
      <c r="C27" s="17"/>
      <c r="D27" s="17"/>
      <c r="E27" s="17"/>
      <c r="F27" s="17"/>
      <c r="G27" s="17"/>
      <c r="H27" s="17"/>
    </row>
    <row r="28" spans="1:9" x14ac:dyDescent="0.35">
      <c r="A28" s="17"/>
      <c r="B28" s="17"/>
      <c r="C28" s="17"/>
      <c r="D28" s="17"/>
      <c r="E28" s="17"/>
      <c r="F28" s="17"/>
      <c r="G28" s="17"/>
      <c r="H28" s="17"/>
    </row>
    <row r="29" spans="1:9" x14ac:dyDescent="0.35">
      <c r="A29" s="17"/>
      <c r="B29" s="17"/>
      <c r="C29" s="17"/>
      <c r="D29" s="17"/>
      <c r="E29" s="17"/>
      <c r="F29" s="17"/>
      <c r="G29" s="17"/>
      <c r="H29" s="17"/>
    </row>
    <row r="30" spans="1:9" x14ac:dyDescent="0.35">
      <c r="A30" s="17"/>
      <c r="B30" s="17"/>
      <c r="C30" s="17"/>
      <c r="D30" s="17"/>
      <c r="E30" s="17"/>
      <c r="F30" s="17"/>
      <c r="G30" s="17"/>
      <c r="H30" s="17"/>
    </row>
    <row r="31" spans="1:9" x14ac:dyDescent="0.35">
      <c r="A31" s="17"/>
      <c r="B31" s="17"/>
      <c r="C31" s="17"/>
      <c r="D31" s="17"/>
      <c r="E31" s="17"/>
      <c r="F31" s="17"/>
      <c r="G31" s="17"/>
      <c r="H31" s="17"/>
    </row>
    <row r="32" spans="1:9" x14ac:dyDescent="0.35">
      <c r="A32" s="17"/>
      <c r="B32" s="17"/>
      <c r="C32" s="17"/>
      <c r="D32" s="17"/>
      <c r="E32" s="17"/>
      <c r="F32" s="17"/>
      <c r="G32" s="17"/>
      <c r="H32" s="17"/>
    </row>
    <row r="33" spans="1:8" x14ac:dyDescent="0.35">
      <c r="A33" s="17"/>
      <c r="B33" s="17"/>
      <c r="C33" s="17"/>
      <c r="D33" s="17"/>
      <c r="E33" s="17"/>
      <c r="F33" s="17"/>
      <c r="G33" s="17"/>
      <c r="H33" s="17"/>
    </row>
    <row r="34" spans="1:8" x14ac:dyDescent="0.35">
      <c r="A34" s="17"/>
      <c r="B34" s="17"/>
      <c r="C34" s="17"/>
      <c r="D34" s="17"/>
      <c r="E34" s="17"/>
      <c r="F34" s="17"/>
      <c r="G34" s="17"/>
      <c r="H34" s="17"/>
    </row>
    <row r="35" spans="1:8" x14ac:dyDescent="0.35">
      <c r="A35" s="17"/>
      <c r="B35" s="17"/>
      <c r="C35" s="17"/>
      <c r="D35" s="17"/>
      <c r="E35" s="17"/>
      <c r="F35" s="17"/>
      <c r="G35" s="17"/>
      <c r="H35" s="17"/>
    </row>
    <row r="36" spans="1:8" x14ac:dyDescent="0.35">
      <c r="A36" s="17"/>
      <c r="B36" s="17"/>
      <c r="C36" s="17"/>
      <c r="D36" s="17"/>
      <c r="E36" s="17"/>
      <c r="F36" s="17"/>
      <c r="G36" s="17"/>
      <c r="H36" s="17"/>
    </row>
    <row r="37" spans="1:8" x14ac:dyDescent="0.35">
      <c r="A37" s="17"/>
      <c r="B37" s="17"/>
      <c r="C37" s="17"/>
      <c r="D37" s="17"/>
      <c r="E37" s="17"/>
      <c r="F37" s="17"/>
      <c r="G37" s="17"/>
      <c r="H37" s="17"/>
    </row>
    <row r="38" spans="1:8" x14ac:dyDescent="0.35">
      <c r="A38" s="17"/>
      <c r="B38" s="17"/>
      <c r="C38" s="17"/>
      <c r="D38" s="17"/>
      <c r="E38" s="17"/>
      <c r="F38" s="17"/>
      <c r="G38" s="17"/>
      <c r="H38" s="17"/>
    </row>
    <row r="39" spans="1:8" x14ac:dyDescent="0.35">
      <c r="A39" s="17"/>
      <c r="B39" s="17"/>
      <c r="C39" s="17"/>
      <c r="D39" s="17"/>
      <c r="E39" s="17"/>
      <c r="F39" s="17"/>
      <c r="G39" s="17"/>
      <c r="H39" s="17"/>
    </row>
    <row r="40" spans="1:8" x14ac:dyDescent="0.35">
      <c r="A40" s="17"/>
      <c r="B40" s="17"/>
      <c r="C40" s="17"/>
      <c r="D40" s="17"/>
      <c r="E40" s="17"/>
      <c r="F40" s="17"/>
      <c r="G40" s="17"/>
      <c r="H40" s="17"/>
    </row>
    <row r="41" spans="1:8" x14ac:dyDescent="0.35">
      <c r="A41" s="17"/>
      <c r="B41" s="17"/>
      <c r="C41" s="17"/>
      <c r="D41" s="17"/>
      <c r="E41" s="17"/>
      <c r="F41" s="17"/>
      <c r="G41" s="17"/>
      <c r="H41" s="17"/>
    </row>
    <row r="42" spans="1:8" x14ac:dyDescent="0.35">
      <c r="A42" s="17"/>
      <c r="B42" s="17"/>
      <c r="C42" s="17"/>
      <c r="D42" s="17"/>
      <c r="E42" s="17"/>
      <c r="F42" s="17"/>
      <c r="G42" s="17"/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x14ac:dyDescent="0.35">
      <c r="A44" s="17"/>
      <c r="B44" s="17"/>
      <c r="C44" s="17"/>
      <c r="D44" s="17"/>
      <c r="E44" s="17"/>
      <c r="F44" s="17"/>
      <c r="G44" s="17"/>
      <c r="H44" s="17"/>
    </row>
    <row r="45" spans="1:8" x14ac:dyDescent="0.35">
      <c r="A45" s="17"/>
      <c r="B45" s="17"/>
      <c r="C45" s="17"/>
      <c r="D45" s="17"/>
      <c r="E45" s="17"/>
      <c r="F45" s="17"/>
      <c r="G45" s="17"/>
      <c r="H45" s="17"/>
    </row>
    <row r="46" spans="1:8" x14ac:dyDescent="0.35">
      <c r="A46" s="17"/>
      <c r="B46" s="17"/>
      <c r="C46" s="17"/>
      <c r="D46" s="17"/>
      <c r="E46" s="17"/>
      <c r="F46" s="17"/>
      <c r="G46" s="17"/>
      <c r="H46" s="17"/>
    </row>
    <row r="47" spans="1:8" x14ac:dyDescent="0.35">
      <c r="A47" s="17"/>
      <c r="B47" s="17"/>
      <c r="C47" s="17"/>
      <c r="D47" s="17"/>
      <c r="E47" s="17"/>
      <c r="F47" s="17"/>
      <c r="G47" s="17"/>
      <c r="H47" s="17"/>
    </row>
    <row r="48" spans="1:8" x14ac:dyDescent="0.35">
      <c r="A48" s="17"/>
      <c r="B48" s="17"/>
      <c r="C48" s="17"/>
      <c r="D48" s="17"/>
      <c r="E48" s="17"/>
      <c r="F48" s="17"/>
      <c r="G48" s="17"/>
      <c r="H48" s="17"/>
    </row>
    <row r="49" spans="1:8" x14ac:dyDescent="0.35">
      <c r="A49" s="17"/>
      <c r="B49" s="17"/>
      <c r="C49" s="17"/>
      <c r="D49" s="17"/>
      <c r="E49" s="17"/>
      <c r="F49" s="17"/>
      <c r="G49" s="17"/>
      <c r="H49" s="17"/>
    </row>
    <row r="50" spans="1:8" x14ac:dyDescent="0.35">
      <c r="A50" s="17"/>
      <c r="B50" s="17"/>
      <c r="C50" s="17"/>
      <c r="D50" s="17"/>
      <c r="E50" s="17"/>
      <c r="F50" s="17"/>
      <c r="G50" s="17"/>
      <c r="H50" s="17"/>
    </row>
    <row r="51" spans="1:8" x14ac:dyDescent="0.35">
      <c r="A51" s="17"/>
      <c r="B51" s="17"/>
      <c r="C51" s="17"/>
      <c r="D51" s="17"/>
      <c r="E51" s="17"/>
      <c r="F51" s="17"/>
      <c r="G51" s="17"/>
      <c r="H51" s="17"/>
    </row>
    <row r="52" spans="1:8" x14ac:dyDescent="0.35">
      <c r="A52" s="17"/>
      <c r="B52" s="17"/>
      <c r="C52" s="17"/>
      <c r="D52" s="17"/>
      <c r="E52" s="17"/>
      <c r="F52" s="17"/>
      <c r="G52" s="17"/>
      <c r="H52" s="17"/>
    </row>
    <row r="53" spans="1:8" x14ac:dyDescent="0.35">
      <c r="A53" s="17"/>
      <c r="B53" s="17"/>
      <c r="C53" s="17"/>
      <c r="D53" s="17"/>
      <c r="E53" s="17"/>
      <c r="F53" s="17"/>
      <c r="G53" s="17"/>
      <c r="H53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11" priority="6" operator="containsText" text="Passed">
      <formula>NOT(ISERROR(SEARCH(("Passed"),(G1))))</formula>
    </cfRule>
    <cfRule type="containsText" dxfId="110" priority="7" operator="containsText" text="Failed">
      <formula>NOT(ISERROR(SEARCH(("Failed"),(G1))))</formula>
    </cfRule>
    <cfRule type="containsText" dxfId="109" priority="8" operator="containsText" text="Incomplete">
      <formula>NOT(ISERROR(SEARCH(("Incomplete"),(G1))))</formula>
    </cfRule>
  </conditionalFormatting>
  <conditionalFormatting sqref="I6:I20">
    <cfRule type="containsText" dxfId="108" priority="1" operator="containsText" text="Passed">
      <formula>NOT(ISERROR(SEARCH(("Passed"),(I6))))</formula>
    </cfRule>
    <cfRule type="containsText" dxfId="107" priority="2" operator="containsText" text="Failed">
      <formula>NOT(ISERROR(SEARCH(("Failed"),(I6))))</formula>
    </cfRule>
    <cfRule type="containsText" dxfId="106" priority="3" operator="containsText" text="Bug ok">
      <formula>NOT(ISERROR(SEARCH(("Bug ok"),(I6))))</formula>
    </cfRule>
    <cfRule type="containsText" dxfId="105" priority="4" operator="containsText" text="Blocked">
      <formula>NOT(ISERROR(SEARCH(("Blocked"),(I6))))</formula>
    </cfRule>
    <cfRule type="containsText" dxfId="104" priority="5" operator="containsText" text="Cannot run">
      <formula>NOT(ISERROR(SEARCH(("Cannot run"),(J6))))</formula>
    </cfRule>
  </conditionalFormatting>
  <dataValidations count="1">
    <dataValidation type="list" allowBlank="1" showErrorMessage="1" sqref="I6:I20" xr:uid="{3F27FC61-0DA2-4AF2-8B23-14C87A3756CD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7DC2-4281-48FE-8DBE-51E83FD8D18F}">
  <dimension ref="A1:J20"/>
  <sheetViews>
    <sheetView workbookViewId="0">
      <selection activeCell="H3" sqref="H3"/>
    </sheetView>
  </sheetViews>
  <sheetFormatPr defaultRowHeight="14.5" x14ac:dyDescent="0.35"/>
  <cols>
    <col min="1" max="1" width="37.81640625" customWidth="1"/>
    <col min="2" max="10" width="28.1796875" customWidth="1"/>
  </cols>
  <sheetData>
    <row r="1" spans="1:10" ht="15.5" x14ac:dyDescent="0.35">
      <c r="A1" s="76"/>
      <c r="B1" s="85" t="s">
        <v>2</v>
      </c>
      <c r="C1" s="78"/>
      <c r="D1" s="79" t="s">
        <v>2371</v>
      </c>
      <c r="E1" s="101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COUNTIF(A1:A200,"TC-??")</f>
        <v>15</v>
      </c>
      <c r="H2" s="14">
        <f>COUNTIF(I4:I844,"Đạt")</f>
        <v>15</v>
      </c>
      <c r="I2" s="6">
        <f>COUNTIF(G4:G862,"Không Đạt")</f>
        <v>0</v>
      </c>
      <c r="J2" s="6">
        <f>COUNTIF(G4:G862,"Chưa Xong")</f>
        <v>0</v>
      </c>
    </row>
    <row r="3" spans="1:10" ht="18" x14ac:dyDescent="0.35">
      <c r="A3" s="76"/>
      <c r="B3" s="85" t="s">
        <v>55</v>
      </c>
      <c r="C3" s="78"/>
      <c r="D3" s="88">
        <v>46016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58" x14ac:dyDescent="0.35">
      <c r="A6" s="32" t="s">
        <v>65</v>
      </c>
      <c r="B6" s="32" t="s">
        <v>2313</v>
      </c>
      <c r="C6" s="32" t="s">
        <v>1913</v>
      </c>
      <c r="D6" s="32" t="s">
        <v>2068</v>
      </c>
      <c r="E6" s="32" t="s">
        <v>2372</v>
      </c>
      <c r="F6" s="32" t="s">
        <v>2315</v>
      </c>
      <c r="G6" s="32" t="s">
        <v>2316</v>
      </c>
      <c r="H6" s="32" t="s">
        <v>2373</v>
      </c>
      <c r="I6" s="51" t="s">
        <v>4</v>
      </c>
    </row>
    <row r="7" spans="1:10" ht="43.5" x14ac:dyDescent="0.35">
      <c r="A7" s="32" t="s">
        <v>72</v>
      </c>
      <c r="B7" s="32" t="s">
        <v>2237</v>
      </c>
      <c r="C7" s="32" t="s">
        <v>1913</v>
      </c>
      <c r="D7" s="32" t="s">
        <v>2238</v>
      </c>
      <c r="E7" s="32" t="s">
        <v>2374</v>
      </c>
      <c r="F7" s="32" t="s">
        <v>2319</v>
      </c>
      <c r="G7" s="32" t="s">
        <v>2320</v>
      </c>
      <c r="H7" s="32" t="s">
        <v>2321</v>
      </c>
      <c r="I7" s="51" t="s">
        <v>4</v>
      </c>
    </row>
    <row r="8" spans="1:10" ht="29" x14ac:dyDescent="0.35">
      <c r="A8" s="32" t="s">
        <v>77</v>
      </c>
      <c r="B8" s="32" t="s">
        <v>2242</v>
      </c>
      <c r="C8" s="32" t="s">
        <v>1913</v>
      </c>
      <c r="D8" s="32" t="s">
        <v>2057</v>
      </c>
      <c r="E8" s="32" t="s">
        <v>2322</v>
      </c>
      <c r="F8" s="32" t="s">
        <v>2243</v>
      </c>
      <c r="G8" s="32" t="s">
        <v>2244</v>
      </c>
      <c r="H8" s="32" t="s">
        <v>2242</v>
      </c>
      <c r="I8" s="51" t="s">
        <v>4</v>
      </c>
    </row>
    <row r="9" spans="1:10" ht="43.5" x14ac:dyDescent="0.35">
      <c r="A9" s="32" t="s">
        <v>83</v>
      </c>
      <c r="B9" s="32" t="s">
        <v>2323</v>
      </c>
      <c r="C9" s="32" t="s">
        <v>1913</v>
      </c>
      <c r="D9" s="32" t="s">
        <v>2089</v>
      </c>
      <c r="E9" s="32" t="s">
        <v>2324</v>
      </c>
      <c r="F9" s="32" t="s">
        <v>2325</v>
      </c>
      <c r="G9" s="32" t="s">
        <v>2375</v>
      </c>
      <c r="H9" s="32" t="s">
        <v>2327</v>
      </c>
      <c r="I9" s="51" t="s">
        <v>4</v>
      </c>
    </row>
    <row r="10" spans="1:10" ht="29" x14ac:dyDescent="0.35">
      <c r="A10" s="32" t="s">
        <v>88</v>
      </c>
      <c r="B10" s="32" t="s">
        <v>2328</v>
      </c>
      <c r="C10" s="32" t="s">
        <v>1913</v>
      </c>
      <c r="D10" s="32" t="s">
        <v>2095</v>
      </c>
      <c r="E10" s="32" t="s">
        <v>2250</v>
      </c>
      <c r="F10" s="32" t="s">
        <v>2251</v>
      </c>
      <c r="G10" s="32" t="s">
        <v>2252</v>
      </c>
      <c r="H10" s="32" t="s">
        <v>2329</v>
      </c>
      <c r="I10" s="51" t="s">
        <v>4</v>
      </c>
    </row>
    <row r="11" spans="1:10" ht="43.5" x14ac:dyDescent="0.35">
      <c r="A11" s="32" t="s">
        <v>233</v>
      </c>
      <c r="B11" s="32" t="s">
        <v>2330</v>
      </c>
      <c r="C11" s="32" t="s">
        <v>1913</v>
      </c>
      <c r="D11" s="32" t="s">
        <v>2331</v>
      </c>
      <c r="E11" s="32" t="s">
        <v>2332</v>
      </c>
      <c r="F11" s="32" t="s">
        <v>2333</v>
      </c>
      <c r="G11" s="32" t="s">
        <v>2334</v>
      </c>
      <c r="H11" s="32" t="s">
        <v>2335</v>
      </c>
      <c r="I11" s="51" t="s">
        <v>4</v>
      </c>
    </row>
    <row r="12" spans="1:10" ht="43.5" x14ac:dyDescent="0.35">
      <c r="A12" s="32" t="s">
        <v>93</v>
      </c>
      <c r="B12" s="32" t="s">
        <v>2336</v>
      </c>
      <c r="C12" s="32" t="s">
        <v>1913</v>
      </c>
      <c r="D12" s="32" t="s">
        <v>2337</v>
      </c>
      <c r="E12" s="32" t="s">
        <v>302</v>
      </c>
      <c r="F12" s="32" t="s">
        <v>2338</v>
      </c>
      <c r="G12" s="32" t="s">
        <v>2339</v>
      </c>
      <c r="H12" s="32" t="s">
        <v>2340</v>
      </c>
      <c r="I12" s="51" t="s">
        <v>4</v>
      </c>
    </row>
    <row r="13" spans="1:10" ht="43.5" x14ac:dyDescent="0.35">
      <c r="A13" s="32" t="s">
        <v>98</v>
      </c>
      <c r="B13" s="32" t="s">
        <v>2341</v>
      </c>
      <c r="C13" s="32" t="s">
        <v>1913</v>
      </c>
      <c r="D13" s="32" t="s">
        <v>2337</v>
      </c>
      <c r="E13" s="32" t="s">
        <v>302</v>
      </c>
      <c r="F13" s="32" t="s">
        <v>2342</v>
      </c>
      <c r="G13" s="32" t="s">
        <v>2343</v>
      </c>
      <c r="H13" s="32" t="s">
        <v>2344</v>
      </c>
      <c r="I13" s="51" t="s">
        <v>4</v>
      </c>
    </row>
    <row r="14" spans="1:10" ht="72.5" x14ac:dyDescent="0.35">
      <c r="A14" s="32" t="s">
        <v>105</v>
      </c>
      <c r="B14" s="32" t="s">
        <v>2345</v>
      </c>
      <c r="C14" s="32" t="s">
        <v>1913</v>
      </c>
      <c r="D14" s="32" t="s">
        <v>1387</v>
      </c>
      <c r="E14" s="32" t="s">
        <v>2346</v>
      </c>
      <c r="F14" s="32" t="s">
        <v>2347</v>
      </c>
      <c r="G14" s="32" t="s">
        <v>2348</v>
      </c>
      <c r="H14" s="32" t="s">
        <v>2349</v>
      </c>
      <c r="I14" s="51" t="s">
        <v>4</v>
      </c>
    </row>
    <row r="15" spans="1:10" ht="29" x14ac:dyDescent="0.35">
      <c r="A15" s="32" t="s">
        <v>113</v>
      </c>
      <c r="B15" s="32" t="s">
        <v>2350</v>
      </c>
      <c r="C15" s="32" t="s">
        <v>1913</v>
      </c>
      <c r="D15" s="32" t="s">
        <v>2260</v>
      </c>
      <c r="E15" s="32" t="s">
        <v>2322</v>
      </c>
      <c r="F15" s="32" t="s">
        <v>2262</v>
      </c>
      <c r="G15" s="32" t="s">
        <v>2351</v>
      </c>
      <c r="H15" s="32" t="s">
        <v>2264</v>
      </c>
      <c r="I15" s="51" t="s">
        <v>4</v>
      </c>
    </row>
    <row r="16" spans="1:10" ht="58" x14ac:dyDescent="0.35">
      <c r="A16" s="32" t="s">
        <v>119</v>
      </c>
      <c r="B16" s="32" t="s">
        <v>2352</v>
      </c>
      <c r="C16" s="32" t="s">
        <v>1913</v>
      </c>
      <c r="D16" s="32" t="s">
        <v>7</v>
      </c>
      <c r="E16" s="32" t="s">
        <v>2353</v>
      </c>
      <c r="F16" s="32" t="s">
        <v>2354</v>
      </c>
      <c r="G16" s="32" t="s">
        <v>2376</v>
      </c>
      <c r="H16" s="32" t="s">
        <v>2355</v>
      </c>
      <c r="I16" s="51" t="s">
        <v>4</v>
      </c>
    </row>
    <row r="17" spans="1:9" ht="29" x14ac:dyDescent="0.35">
      <c r="A17" s="32" t="s">
        <v>125</v>
      </c>
      <c r="B17" s="32" t="s">
        <v>2274</v>
      </c>
      <c r="C17" s="32" t="s">
        <v>315</v>
      </c>
      <c r="D17" s="32" t="s">
        <v>2275</v>
      </c>
      <c r="E17" s="32" t="s">
        <v>2153</v>
      </c>
      <c r="F17" s="32" t="s">
        <v>2356</v>
      </c>
      <c r="G17" s="32" t="s">
        <v>1764</v>
      </c>
      <c r="H17" s="32" t="s">
        <v>2357</v>
      </c>
      <c r="I17" s="51" t="s">
        <v>4</v>
      </c>
    </row>
    <row r="18" spans="1:9" ht="43.5" x14ac:dyDescent="0.35">
      <c r="A18" s="32" t="s">
        <v>132</v>
      </c>
      <c r="B18" s="32" t="s">
        <v>2358</v>
      </c>
      <c r="C18" s="32" t="s">
        <v>1913</v>
      </c>
      <c r="D18" s="32" t="s">
        <v>1481</v>
      </c>
      <c r="E18" s="32" t="s">
        <v>2322</v>
      </c>
      <c r="F18" s="32" t="s">
        <v>2359</v>
      </c>
      <c r="G18" s="32" t="s">
        <v>2280</v>
      </c>
      <c r="H18" s="32" t="s">
        <v>2360</v>
      </c>
      <c r="I18" s="51" t="s">
        <v>4</v>
      </c>
    </row>
    <row r="19" spans="1:9" ht="29" x14ac:dyDescent="0.35">
      <c r="A19" s="32" t="s">
        <v>138</v>
      </c>
      <c r="B19" s="32" t="s">
        <v>2361</v>
      </c>
      <c r="C19" s="32" t="s">
        <v>1579</v>
      </c>
      <c r="D19" s="32" t="s">
        <v>2362</v>
      </c>
      <c r="E19" s="32" t="s">
        <v>2363</v>
      </c>
      <c r="F19" s="32" t="s">
        <v>2364</v>
      </c>
      <c r="G19" s="32" t="s">
        <v>2365</v>
      </c>
      <c r="H19" s="32" t="s">
        <v>2366</v>
      </c>
      <c r="I19" s="51" t="s">
        <v>4</v>
      </c>
    </row>
    <row r="20" spans="1:9" ht="43.5" x14ac:dyDescent="0.35">
      <c r="A20" s="32" t="s">
        <v>144</v>
      </c>
      <c r="B20" s="32" t="s">
        <v>2367</v>
      </c>
      <c r="C20" s="32" t="s">
        <v>1471</v>
      </c>
      <c r="D20" s="32" t="s">
        <v>2368</v>
      </c>
      <c r="E20" s="32" t="s">
        <v>2318</v>
      </c>
      <c r="F20" s="32" t="s">
        <v>2369</v>
      </c>
      <c r="G20" s="32" t="s">
        <v>2370</v>
      </c>
      <c r="H20" s="32" t="s">
        <v>2115</v>
      </c>
      <c r="I20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103" priority="6" operator="containsText" text="Passed">
      <formula>NOT(ISERROR(SEARCH(("Passed"),(G1))))</formula>
    </cfRule>
    <cfRule type="containsText" dxfId="102" priority="7" operator="containsText" text="Failed">
      <formula>NOT(ISERROR(SEARCH(("Failed"),(G1))))</formula>
    </cfRule>
    <cfRule type="containsText" dxfId="101" priority="8" operator="containsText" text="Incomplete">
      <formula>NOT(ISERROR(SEARCH(("Incomplete"),(G1))))</formula>
    </cfRule>
  </conditionalFormatting>
  <conditionalFormatting sqref="I6:I20">
    <cfRule type="containsText" dxfId="100" priority="1" operator="containsText" text="Passed">
      <formula>NOT(ISERROR(SEARCH(("Passed"),(I6))))</formula>
    </cfRule>
    <cfRule type="containsText" dxfId="99" priority="2" operator="containsText" text="Failed">
      <formula>NOT(ISERROR(SEARCH(("Failed"),(I6))))</formula>
    </cfRule>
    <cfRule type="containsText" dxfId="98" priority="3" operator="containsText" text="Bug ok">
      <formula>NOT(ISERROR(SEARCH(("Bug ok"),(I6))))</formula>
    </cfRule>
    <cfRule type="containsText" dxfId="97" priority="4" operator="containsText" text="Blocked">
      <formula>NOT(ISERROR(SEARCH(("Blocked"),(I6))))</formula>
    </cfRule>
    <cfRule type="containsText" dxfId="96" priority="5" operator="containsText" text="Cannot run">
      <formula>NOT(ISERROR(SEARCH(("Cannot run"),(J6))))</formula>
    </cfRule>
  </conditionalFormatting>
  <dataValidations count="1">
    <dataValidation type="list" allowBlank="1" showErrorMessage="1" sqref="I6:I20" xr:uid="{7D6EBCC4-60F7-4F01-A8B6-DB832AC3F3A8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FECD-AB98-4991-B021-8DAEF48FD0CD}">
  <dimension ref="A1:J65"/>
  <sheetViews>
    <sheetView workbookViewId="0">
      <selection activeCell="H3" sqref="H3"/>
    </sheetView>
  </sheetViews>
  <sheetFormatPr defaultRowHeight="14.5" x14ac:dyDescent="0.35"/>
  <cols>
    <col min="1" max="1" width="38.7265625" customWidth="1"/>
    <col min="2" max="10" width="27.54296875" customWidth="1"/>
  </cols>
  <sheetData>
    <row r="1" spans="1:10" ht="15.5" x14ac:dyDescent="0.35">
      <c r="A1" s="76"/>
      <c r="B1" s="85" t="s">
        <v>2</v>
      </c>
      <c r="C1" s="78"/>
      <c r="D1" s="79" t="s">
        <v>2377</v>
      </c>
      <c r="E1" s="101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COUNTIF(A1:A200,"TC-??")</f>
        <v>18</v>
      </c>
      <c r="H2" s="14">
        <f>COUNTIF(I4:I844,"Đạt")</f>
        <v>18</v>
      </c>
      <c r="I2" s="6">
        <f>COUNTIF(G4:G862,"Không Đạt")</f>
        <v>0</v>
      </c>
      <c r="J2" s="6">
        <f>COUNTIF(G4:G862,"Chưa Xong")</f>
        <v>0</v>
      </c>
    </row>
    <row r="3" spans="1:10" ht="18" x14ac:dyDescent="0.35">
      <c r="A3" s="76"/>
      <c r="B3" s="85" t="s">
        <v>55</v>
      </c>
      <c r="C3" s="78"/>
      <c r="D3" s="88">
        <v>46003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58" x14ac:dyDescent="0.35">
      <c r="A6" s="32" t="s">
        <v>65</v>
      </c>
      <c r="B6" s="32" t="s">
        <v>2378</v>
      </c>
      <c r="C6" s="32" t="s">
        <v>1913</v>
      </c>
      <c r="D6" s="32" t="s">
        <v>2068</v>
      </c>
      <c r="E6" s="32" t="s">
        <v>2379</v>
      </c>
      <c r="F6" s="32" t="s">
        <v>2380</v>
      </c>
      <c r="G6" s="32" t="s">
        <v>2381</v>
      </c>
      <c r="H6" s="32" t="s">
        <v>2382</v>
      </c>
      <c r="I6" s="51" t="s">
        <v>4</v>
      </c>
    </row>
    <row r="7" spans="1:10" ht="29" x14ac:dyDescent="0.35">
      <c r="A7" s="32" t="s">
        <v>72</v>
      </c>
      <c r="B7" s="32" t="s">
        <v>2383</v>
      </c>
      <c r="C7" s="32" t="s">
        <v>1913</v>
      </c>
      <c r="D7" s="32" t="s">
        <v>2238</v>
      </c>
      <c r="E7" s="32" t="s">
        <v>2384</v>
      </c>
      <c r="F7" s="32" t="s">
        <v>2385</v>
      </c>
      <c r="G7" s="32" t="s">
        <v>2320</v>
      </c>
      <c r="H7" s="32" t="s">
        <v>2386</v>
      </c>
      <c r="I7" s="51" t="s">
        <v>4</v>
      </c>
    </row>
    <row r="8" spans="1:10" ht="43.5" x14ac:dyDescent="0.35">
      <c r="A8" s="32" t="s">
        <v>77</v>
      </c>
      <c r="B8" s="32" t="s">
        <v>2387</v>
      </c>
      <c r="C8" s="32" t="s">
        <v>1913</v>
      </c>
      <c r="D8" s="32" t="s">
        <v>2388</v>
      </c>
      <c r="E8" s="32" t="s">
        <v>2246</v>
      </c>
      <c r="F8" s="32" t="s">
        <v>2389</v>
      </c>
      <c r="G8" s="32" t="s">
        <v>2375</v>
      </c>
      <c r="H8" s="32" t="s">
        <v>2390</v>
      </c>
      <c r="I8" s="51" t="s">
        <v>4</v>
      </c>
    </row>
    <row r="9" spans="1:10" ht="29" x14ac:dyDescent="0.35">
      <c r="A9" s="32" t="s">
        <v>83</v>
      </c>
      <c r="B9" s="32" t="s">
        <v>2391</v>
      </c>
      <c r="C9" s="32" t="s">
        <v>1913</v>
      </c>
      <c r="D9" s="32" t="s">
        <v>2095</v>
      </c>
      <c r="E9" s="32" t="s">
        <v>2250</v>
      </c>
      <c r="F9" s="32" t="s">
        <v>2251</v>
      </c>
      <c r="G9" s="32" t="s">
        <v>2392</v>
      </c>
      <c r="H9" s="32" t="s">
        <v>2393</v>
      </c>
      <c r="I9" s="51" t="s">
        <v>4</v>
      </c>
    </row>
    <row r="10" spans="1:10" ht="43.5" x14ac:dyDescent="0.35">
      <c r="A10" s="32" t="s">
        <v>88</v>
      </c>
      <c r="B10" s="32" t="s">
        <v>2394</v>
      </c>
      <c r="C10" s="32" t="s">
        <v>1913</v>
      </c>
      <c r="D10" s="32" t="s">
        <v>2394</v>
      </c>
      <c r="E10" s="32" t="s">
        <v>2395</v>
      </c>
      <c r="F10" s="32" t="s">
        <v>2396</v>
      </c>
      <c r="G10" s="32" t="s">
        <v>2397</v>
      </c>
      <c r="H10" s="32" t="s">
        <v>2398</v>
      </c>
      <c r="I10" s="51" t="s">
        <v>4</v>
      </c>
    </row>
    <row r="11" spans="1:10" ht="43.5" x14ac:dyDescent="0.35">
      <c r="A11" s="32" t="s">
        <v>233</v>
      </c>
      <c r="B11" s="32" t="s">
        <v>2399</v>
      </c>
      <c r="C11" s="32" t="s">
        <v>1913</v>
      </c>
      <c r="D11" s="32" t="s">
        <v>2337</v>
      </c>
      <c r="E11" s="32" t="s">
        <v>302</v>
      </c>
      <c r="F11" s="32" t="s">
        <v>2400</v>
      </c>
      <c r="G11" s="32" t="s">
        <v>2401</v>
      </c>
      <c r="H11" s="32" t="s">
        <v>2402</v>
      </c>
      <c r="I11" s="51" t="s">
        <v>4</v>
      </c>
    </row>
    <row r="12" spans="1:10" ht="29" x14ac:dyDescent="0.35">
      <c r="A12" s="32" t="s">
        <v>93</v>
      </c>
      <c r="B12" s="32" t="s">
        <v>2403</v>
      </c>
      <c r="C12" s="32" t="s">
        <v>1913</v>
      </c>
      <c r="D12" s="32" t="s">
        <v>2337</v>
      </c>
      <c r="E12" s="32" t="s">
        <v>302</v>
      </c>
      <c r="F12" s="32" t="s">
        <v>2342</v>
      </c>
      <c r="G12" s="32" t="s">
        <v>2404</v>
      </c>
      <c r="H12" s="32" t="s">
        <v>2405</v>
      </c>
      <c r="I12" s="51" t="s">
        <v>4</v>
      </c>
    </row>
    <row r="13" spans="1:10" ht="29" x14ac:dyDescent="0.35">
      <c r="A13" s="32" t="s">
        <v>98</v>
      </c>
      <c r="B13" s="32" t="s">
        <v>2331</v>
      </c>
      <c r="C13" s="32" t="s">
        <v>1913</v>
      </c>
      <c r="D13" s="32" t="s">
        <v>2406</v>
      </c>
      <c r="E13" s="32" t="s">
        <v>2384</v>
      </c>
      <c r="F13" s="32" t="s">
        <v>2407</v>
      </c>
      <c r="G13" s="32" t="s">
        <v>2408</v>
      </c>
      <c r="H13" s="32" t="s">
        <v>2409</v>
      </c>
      <c r="I13" s="51" t="s">
        <v>4</v>
      </c>
    </row>
    <row r="14" spans="1:10" ht="29" x14ac:dyDescent="0.35">
      <c r="A14" s="32" t="s">
        <v>105</v>
      </c>
      <c r="B14" s="32" t="s">
        <v>2336</v>
      </c>
      <c r="C14" s="32" t="s">
        <v>1913</v>
      </c>
      <c r="D14" s="32" t="s">
        <v>2337</v>
      </c>
      <c r="E14" s="32" t="s">
        <v>2410</v>
      </c>
      <c r="F14" s="32" t="s">
        <v>2411</v>
      </c>
      <c r="G14" s="32" t="s">
        <v>2412</v>
      </c>
      <c r="H14" s="32" t="s">
        <v>2413</v>
      </c>
      <c r="I14" s="51" t="s">
        <v>4</v>
      </c>
    </row>
    <row r="15" spans="1:10" ht="29" x14ac:dyDescent="0.35">
      <c r="A15" s="32" t="s">
        <v>113</v>
      </c>
      <c r="B15" s="32" t="s">
        <v>2341</v>
      </c>
      <c r="C15" s="32" t="s">
        <v>1913</v>
      </c>
      <c r="D15" s="32" t="s">
        <v>2337</v>
      </c>
      <c r="E15" s="32" t="s">
        <v>2410</v>
      </c>
      <c r="F15" s="32" t="s">
        <v>2342</v>
      </c>
      <c r="G15" s="32" t="s">
        <v>2414</v>
      </c>
      <c r="H15" s="32" t="s">
        <v>2415</v>
      </c>
      <c r="I15" s="51" t="s">
        <v>4</v>
      </c>
    </row>
    <row r="16" spans="1:10" ht="29" x14ac:dyDescent="0.35">
      <c r="A16" s="32" t="s">
        <v>119</v>
      </c>
      <c r="B16" s="32" t="s">
        <v>2416</v>
      </c>
      <c r="C16" s="32" t="s">
        <v>1913</v>
      </c>
      <c r="D16" s="32" t="s">
        <v>2406</v>
      </c>
      <c r="E16" s="32" t="s">
        <v>2384</v>
      </c>
      <c r="F16" s="32" t="s">
        <v>2417</v>
      </c>
      <c r="G16" s="32" t="s">
        <v>2418</v>
      </c>
      <c r="H16" s="32" t="s">
        <v>2409</v>
      </c>
      <c r="I16" s="51" t="s">
        <v>4</v>
      </c>
    </row>
    <row r="17" spans="1:9" ht="29" x14ac:dyDescent="0.35">
      <c r="A17" s="32" t="s">
        <v>125</v>
      </c>
      <c r="B17" s="32" t="s">
        <v>2419</v>
      </c>
      <c r="C17" s="32" t="s">
        <v>1913</v>
      </c>
      <c r="D17" s="32" t="s">
        <v>2337</v>
      </c>
      <c r="E17" s="32" t="s">
        <v>2410</v>
      </c>
      <c r="F17" s="32" t="s">
        <v>2420</v>
      </c>
      <c r="G17" s="32" t="s">
        <v>2421</v>
      </c>
      <c r="H17" s="32" t="s">
        <v>2422</v>
      </c>
      <c r="I17" s="51" t="s">
        <v>4</v>
      </c>
    </row>
    <row r="18" spans="1:9" x14ac:dyDescent="0.35">
      <c r="A18" s="32" t="s">
        <v>132</v>
      </c>
      <c r="B18" s="32" t="s">
        <v>2423</v>
      </c>
      <c r="C18" s="32" t="s">
        <v>1913</v>
      </c>
      <c r="D18" s="32" t="s">
        <v>2337</v>
      </c>
      <c r="E18" s="32" t="s">
        <v>2410</v>
      </c>
      <c r="F18" s="32" t="s">
        <v>2424</v>
      </c>
      <c r="G18" s="32" t="s">
        <v>2414</v>
      </c>
      <c r="H18" s="32" t="s">
        <v>2425</v>
      </c>
      <c r="I18" s="51" t="s">
        <v>4</v>
      </c>
    </row>
    <row r="19" spans="1:9" ht="29" x14ac:dyDescent="0.35">
      <c r="A19" s="32" t="s">
        <v>138</v>
      </c>
      <c r="B19" s="32" t="s">
        <v>2426</v>
      </c>
      <c r="C19" s="32" t="s">
        <v>1913</v>
      </c>
      <c r="D19" s="32" t="s">
        <v>2427</v>
      </c>
      <c r="E19" s="32" t="s">
        <v>2428</v>
      </c>
      <c r="F19" s="32" t="s">
        <v>2429</v>
      </c>
      <c r="G19" s="32" t="s">
        <v>2430</v>
      </c>
      <c r="H19" s="32" t="s">
        <v>2431</v>
      </c>
      <c r="I19" s="51" t="s">
        <v>4</v>
      </c>
    </row>
    <row r="20" spans="1:9" ht="29" x14ac:dyDescent="0.35">
      <c r="A20" s="32" t="s">
        <v>144</v>
      </c>
      <c r="B20" s="32" t="s">
        <v>2432</v>
      </c>
      <c r="C20" s="32" t="s">
        <v>1913</v>
      </c>
      <c r="D20" s="32" t="s">
        <v>2433</v>
      </c>
      <c r="E20" s="32" t="s">
        <v>2434</v>
      </c>
      <c r="F20" s="32" t="s">
        <v>2435</v>
      </c>
      <c r="G20" s="32" t="s">
        <v>2436</v>
      </c>
      <c r="H20" s="32" t="s">
        <v>2437</v>
      </c>
      <c r="I20" s="51" t="s">
        <v>4</v>
      </c>
    </row>
    <row r="21" spans="1:9" ht="29" x14ac:dyDescent="0.35">
      <c r="A21" s="32" t="s">
        <v>150</v>
      </c>
      <c r="B21" s="32" t="s">
        <v>2438</v>
      </c>
      <c r="C21" s="32" t="s">
        <v>315</v>
      </c>
      <c r="D21" s="32" t="s">
        <v>314</v>
      </c>
      <c r="E21" s="32" t="s">
        <v>2153</v>
      </c>
      <c r="F21" s="32" t="s">
        <v>2439</v>
      </c>
      <c r="G21" s="32" t="s">
        <v>1764</v>
      </c>
      <c r="H21" s="32" t="s">
        <v>2440</v>
      </c>
      <c r="I21" s="51" t="s">
        <v>4</v>
      </c>
    </row>
    <row r="22" spans="1:9" ht="29" x14ac:dyDescent="0.35">
      <c r="A22" s="32" t="s">
        <v>157</v>
      </c>
      <c r="B22" s="32" t="s">
        <v>2441</v>
      </c>
      <c r="C22" s="32" t="s">
        <v>1913</v>
      </c>
      <c r="D22" s="32" t="s">
        <v>1481</v>
      </c>
      <c r="E22" s="32" t="s">
        <v>2384</v>
      </c>
      <c r="F22" s="32" t="s">
        <v>2359</v>
      </c>
      <c r="G22" s="32" t="s">
        <v>2280</v>
      </c>
      <c r="H22" s="32" t="s">
        <v>2442</v>
      </c>
      <c r="I22" s="51" t="s">
        <v>4</v>
      </c>
    </row>
    <row r="23" spans="1:9" ht="29" x14ac:dyDescent="0.35">
      <c r="A23" s="32" t="s">
        <v>163</v>
      </c>
      <c r="B23" s="32" t="s">
        <v>2443</v>
      </c>
      <c r="C23" s="32" t="s">
        <v>1579</v>
      </c>
      <c r="D23" s="32" t="s">
        <v>2362</v>
      </c>
      <c r="E23" s="32" t="s">
        <v>2363</v>
      </c>
      <c r="F23" s="32" t="s">
        <v>2444</v>
      </c>
      <c r="G23" s="32" t="s">
        <v>2445</v>
      </c>
      <c r="H23" s="32" t="s">
        <v>2446</v>
      </c>
      <c r="I23" s="51" t="s">
        <v>4</v>
      </c>
    </row>
    <row r="24" spans="1:9" x14ac:dyDescent="0.35">
      <c r="A24" s="17"/>
      <c r="B24" s="17"/>
      <c r="C24" s="17"/>
      <c r="D24" s="17"/>
      <c r="E24" s="17"/>
      <c r="F24" s="17"/>
      <c r="G24" s="17"/>
      <c r="H24" s="17"/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  <row r="26" spans="1:9" x14ac:dyDescent="0.35">
      <c r="A26" s="17"/>
      <c r="B26" s="17"/>
      <c r="C26" s="17"/>
      <c r="D26" s="17"/>
      <c r="E26" s="17"/>
      <c r="F26" s="17"/>
      <c r="G26" s="17"/>
      <c r="H26" s="17"/>
    </row>
    <row r="27" spans="1:9" x14ac:dyDescent="0.35">
      <c r="A27" s="17"/>
      <c r="B27" s="17"/>
      <c r="C27" s="17"/>
      <c r="D27" s="17"/>
      <c r="E27" s="17"/>
      <c r="F27" s="17"/>
      <c r="G27" s="17"/>
      <c r="H27" s="17"/>
    </row>
    <row r="28" spans="1:9" x14ac:dyDescent="0.35">
      <c r="A28" s="17"/>
      <c r="B28" s="17"/>
      <c r="C28" s="17"/>
      <c r="D28" s="17"/>
      <c r="E28" s="17"/>
      <c r="F28" s="17"/>
      <c r="G28" s="17"/>
      <c r="H28" s="17"/>
    </row>
    <row r="29" spans="1:9" x14ac:dyDescent="0.35">
      <c r="A29" s="17"/>
      <c r="B29" s="17"/>
      <c r="C29" s="17"/>
      <c r="D29" s="17"/>
      <c r="E29" s="17"/>
      <c r="F29" s="17"/>
      <c r="G29" s="17"/>
      <c r="H29" s="17"/>
    </row>
    <row r="30" spans="1:9" x14ac:dyDescent="0.35">
      <c r="A30" s="17"/>
      <c r="B30" s="17"/>
      <c r="C30" s="17"/>
      <c r="D30" s="17"/>
      <c r="E30" s="17"/>
      <c r="F30" s="17"/>
      <c r="G30" s="17"/>
      <c r="H30" s="17"/>
    </row>
    <row r="31" spans="1:9" x14ac:dyDescent="0.35">
      <c r="A31" s="17"/>
      <c r="B31" s="17"/>
      <c r="C31" s="17"/>
      <c r="D31" s="17"/>
      <c r="E31" s="17"/>
      <c r="F31" s="17"/>
      <c r="G31" s="17"/>
      <c r="H31" s="17"/>
    </row>
    <row r="32" spans="1:9" x14ac:dyDescent="0.35">
      <c r="A32" s="17"/>
      <c r="B32" s="17"/>
      <c r="C32" s="17"/>
      <c r="D32" s="17"/>
      <c r="E32" s="17"/>
      <c r="F32" s="17"/>
      <c r="G32" s="17"/>
      <c r="H32" s="17"/>
    </row>
    <row r="33" spans="1:8" x14ac:dyDescent="0.35">
      <c r="A33" s="17"/>
      <c r="B33" s="17"/>
      <c r="C33" s="17"/>
      <c r="D33" s="17"/>
      <c r="E33" s="17"/>
      <c r="F33" s="17"/>
      <c r="G33" s="17"/>
      <c r="H33" s="17"/>
    </row>
    <row r="34" spans="1:8" x14ac:dyDescent="0.35">
      <c r="A34" s="17"/>
      <c r="B34" s="17"/>
      <c r="C34" s="17"/>
      <c r="D34" s="17"/>
      <c r="E34" s="17"/>
      <c r="F34" s="17"/>
      <c r="G34" s="17"/>
      <c r="H34" s="17"/>
    </row>
    <row r="35" spans="1:8" x14ac:dyDescent="0.35">
      <c r="A35" s="17"/>
      <c r="B35" s="17"/>
      <c r="C35" s="17"/>
      <c r="D35" s="17"/>
      <c r="E35" s="17"/>
      <c r="F35" s="17"/>
      <c r="G35" s="17"/>
      <c r="H35" s="17"/>
    </row>
    <row r="36" spans="1:8" x14ac:dyDescent="0.35">
      <c r="A36" s="17"/>
      <c r="B36" s="17"/>
      <c r="C36" s="17"/>
      <c r="D36" s="17"/>
      <c r="E36" s="17"/>
      <c r="F36" s="17"/>
      <c r="G36" s="17"/>
      <c r="H36" s="17"/>
    </row>
    <row r="37" spans="1:8" x14ac:dyDescent="0.35">
      <c r="A37" s="17"/>
      <c r="B37" s="17"/>
      <c r="C37" s="17"/>
      <c r="D37" s="17"/>
      <c r="E37" s="17"/>
      <c r="F37" s="17"/>
      <c r="G37" s="17"/>
      <c r="H37" s="17"/>
    </row>
    <row r="38" spans="1:8" x14ac:dyDescent="0.35">
      <c r="A38" s="17"/>
      <c r="B38" s="17"/>
      <c r="C38" s="17"/>
      <c r="D38" s="17"/>
      <c r="E38" s="17"/>
      <c r="F38" s="17"/>
      <c r="G38" s="17"/>
      <c r="H38" s="17"/>
    </row>
    <row r="39" spans="1:8" x14ac:dyDescent="0.35">
      <c r="A39" s="17"/>
      <c r="B39" s="17"/>
      <c r="C39" s="17"/>
      <c r="D39" s="17"/>
      <c r="E39" s="17"/>
      <c r="F39" s="17"/>
      <c r="G39" s="17"/>
      <c r="H39" s="17"/>
    </row>
    <row r="40" spans="1:8" x14ac:dyDescent="0.35">
      <c r="A40" s="17"/>
      <c r="B40" s="17"/>
      <c r="C40" s="17"/>
      <c r="D40" s="17"/>
      <c r="E40" s="17"/>
      <c r="F40" s="17"/>
      <c r="G40" s="17"/>
      <c r="H40" s="17"/>
    </row>
    <row r="41" spans="1:8" x14ac:dyDescent="0.35">
      <c r="A41" s="17"/>
      <c r="B41" s="17"/>
      <c r="C41" s="17"/>
      <c r="D41" s="17"/>
      <c r="E41" s="17"/>
      <c r="F41" s="17"/>
      <c r="G41" s="17"/>
      <c r="H41" s="17"/>
    </row>
    <row r="42" spans="1:8" x14ac:dyDescent="0.35">
      <c r="A42" s="17"/>
      <c r="B42" s="17"/>
      <c r="C42" s="17"/>
      <c r="D42" s="17"/>
      <c r="E42" s="17"/>
      <c r="F42" s="17"/>
      <c r="G42" s="17"/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x14ac:dyDescent="0.35">
      <c r="A44" s="17"/>
      <c r="B44" s="17"/>
      <c r="C44" s="17"/>
      <c r="D44" s="17"/>
      <c r="E44" s="17"/>
      <c r="F44" s="17"/>
      <c r="G44" s="17"/>
      <c r="H44" s="17"/>
    </row>
    <row r="45" spans="1:8" x14ac:dyDescent="0.35">
      <c r="A45" s="17"/>
      <c r="B45" s="17"/>
      <c r="C45" s="17"/>
      <c r="D45" s="17"/>
      <c r="E45" s="17"/>
      <c r="F45" s="17"/>
      <c r="G45" s="17"/>
      <c r="H45" s="17"/>
    </row>
    <row r="46" spans="1:8" x14ac:dyDescent="0.35">
      <c r="A46" s="17"/>
      <c r="B46" s="17"/>
      <c r="C46" s="17"/>
      <c r="D46" s="17"/>
      <c r="E46" s="17"/>
      <c r="F46" s="17"/>
      <c r="G46" s="17"/>
      <c r="H46" s="17"/>
    </row>
    <row r="47" spans="1:8" x14ac:dyDescent="0.35">
      <c r="A47" s="17"/>
      <c r="B47" s="17"/>
      <c r="C47" s="17"/>
      <c r="D47" s="17"/>
      <c r="E47" s="17"/>
      <c r="F47" s="17"/>
      <c r="G47" s="17"/>
      <c r="H47" s="17"/>
    </row>
    <row r="48" spans="1:8" x14ac:dyDescent="0.35">
      <c r="A48" s="17"/>
      <c r="B48" s="17"/>
      <c r="C48" s="17"/>
      <c r="D48" s="17"/>
      <c r="E48" s="17"/>
      <c r="F48" s="17"/>
      <c r="G48" s="17"/>
      <c r="H48" s="17"/>
    </row>
    <row r="49" spans="1:8" x14ac:dyDescent="0.35">
      <c r="A49" s="17"/>
      <c r="B49" s="17"/>
      <c r="C49" s="17"/>
      <c r="D49" s="17"/>
      <c r="E49" s="17"/>
      <c r="F49" s="17"/>
      <c r="G49" s="17"/>
      <c r="H49" s="17"/>
    </row>
    <row r="50" spans="1:8" x14ac:dyDescent="0.35">
      <c r="A50" s="17"/>
      <c r="B50" s="17"/>
      <c r="C50" s="17"/>
      <c r="D50" s="17"/>
      <c r="E50" s="17"/>
      <c r="F50" s="17"/>
      <c r="G50" s="17"/>
      <c r="H50" s="17"/>
    </row>
    <row r="51" spans="1:8" x14ac:dyDescent="0.35">
      <c r="A51" s="17"/>
      <c r="B51" s="17"/>
      <c r="C51" s="17"/>
      <c r="D51" s="17"/>
      <c r="E51" s="17"/>
      <c r="F51" s="17"/>
      <c r="G51" s="17"/>
      <c r="H51" s="17"/>
    </row>
    <row r="52" spans="1:8" x14ac:dyDescent="0.35">
      <c r="A52" s="17"/>
      <c r="B52" s="17"/>
      <c r="C52" s="17"/>
      <c r="D52" s="17"/>
      <c r="E52" s="17"/>
      <c r="F52" s="17"/>
      <c r="G52" s="17"/>
      <c r="H52" s="17"/>
    </row>
    <row r="53" spans="1:8" x14ac:dyDescent="0.35">
      <c r="A53" s="17"/>
      <c r="B53" s="17"/>
      <c r="C53" s="17"/>
      <c r="D53" s="17"/>
      <c r="E53" s="17"/>
      <c r="F53" s="17"/>
      <c r="G53" s="17"/>
      <c r="H53" s="17"/>
    </row>
    <row r="54" spans="1:8" x14ac:dyDescent="0.35">
      <c r="A54" s="17"/>
      <c r="B54" s="17"/>
      <c r="C54" s="17"/>
      <c r="D54" s="17"/>
      <c r="E54" s="17"/>
      <c r="F54" s="17"/>
      <c r="G54" s="17"/>
      <c r="H54" s="17"/>
    </row>
    <row r="55" spans="1:8" x14ac:dyDescent="0.35">
      <c r="A55" s="17"/>
      <c r="B55" s="17"/>
      <c r="C55" s="17"/>
      <c r="D55" s="17"/>
      <c r="E55" s="17"/>
      <c r="F55" s="17"/>
      <c r="G55" s="17"/>
      <c r="H55" s="17"/>
    </row>
    <row r="56" spans="1:8" x14ac:dyDescent="0.35">
      <c r="A56" s="17"/>
      <c r="B56" s="17"/>
      <c r="C56" s="17"/>
      <c r="D56" s="17"/>
      <c r="E56" s="17"/>
      <c r="F56" s="17"/>
      <c r="G56" s="17"/>
      <c r="H56" s="17"/>
    </row>
    <row r="57" spans="1:8" x14ac:dyDescent="0.35">
      <c r="A57" s="17"/>
      <c r="B57" s="17"/>
      <c r="C57" s="17"/>
      <c r="D57" s="17"/>
      <c r="E57" s="17"/>
      <c r="F57" s="17"/>
      <c r="G57" s="17"/>
      <c r="H57" s="17"/>
    </row>
    <row r="58" spans="1:8" x14ac:dyDescent="0.35">
      <c r="A58" s="17"/>
      <c r="B58" s="17"/>
      <c r="C58" s="17"/>
      <c r="D58" s="17"/>
      <c r="E58" s="17"/>
      <c r="F58" s="17"/>
      <c r="G58" s="17"/>
      <c r="H58" s="17"/>
    </row>
    <row r="59" spans="1:8" x14ac:dyDescent="0.35">
      <c r="A59" s="17"/>
      <c r="B59" s="17"/>
      <c r="C59" s="17"/>
      <c r="D59" s="17"/>
      <c r="E59" s="17"/>
      <c r="F59" s="17"/>
      <c r="G59" s="17"/>
      <c r="H59" s="17"/>
    </row>
    <row r="60" spans="1:8" x14ac:dyDescent="0.35">
      <c r="A60" s="17"/>
      <c r="B60" s="17"/>
      <c r="C60" s="17"/>
      <c r="D60" s="17"/>
      <c r="E60" s="17"/>
      <c r="F60" s="17"/>
      <c r="G60" s="17"/>
      <c r="H60" s="17"/>
    </row>
    <row r="61" spans="1:8" x14ac:dyDescent="0.35">
      <c r="A61" s="17"/>
      <c r="B61" s="17"/>
      <c r="C61" s="17"/>
      <c r="D61" s="17"/>
      <c r="E61" s="17"/>
      <c r="F61" s="17"/>
      <c r="G61" s="17"/>
      <c r="H61" s="17"/>
    </row>
    <row r="62" spans="1:8" x14ac:dyDescent="0.35">
      <c r="A62" s="17"/>
      <c r="B62" s="17"/>
      <c r="C62" s="17"/>
      <c r="D62" s="17"/>
      <c r="E62" s="17"/>
      <c r="F62" s="17"/>
      <c r="G62" s="17"/>
      <c r="H62" s="17"/>
    </row>
    <row r="63" spans="1:8" x14ac:dyDescent="0.35">
      <c r="A63" s="17"/>
      <c r="B63" s="17"/>
      <c r="C63" s="17"/>
      <c r="D63" s="17"/>
      <c r="E63" s="17"/>
      <c r="F63" s="17"/>
      <c r="G63" s="17"/>
      <c r="H63" s="17"/>
    </row>
    <row r="64" spans="1:8" x14ac:dyDescent="0.35">
      <c r="A64" s="17"/>
      <c r="B64" s="17"/>
      <c r="C64" s="17"/>
      <c r="D64" s="17"/>
      <c r="E64" s="17"/>
      <c r="F64" s="17"/>
      <c r="G64" s="17"/>
      <c r="H64" s="17"/>
    </row>
    <row r="65" spans="1:8" x14ac:dyDescent="0.35">
      <c r="A65" s="17"/>
      <c r="B65" s="17"/>
      <c r="C65" s="17"/>
      <c r="D65" s="17"/>
      <c r="E65" s="17"/>
      <c r="F65" s="17"/>
      <c r="G65" s="17"/>
      <c r="H65" s="17"/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95" priority="6" operator="containsText" text="Passed">
      <formula>NOT(ISERROR(SEARCH(("Passed"),(G1))))</formula>
    </cfRule>
    <cfRule type="containsText" dxfId="94" priority="7" operator="containsText" text="Failed">
      <formula>NOT(ISERROR(SEARCH(("Failed"),(G1))))</formula>
    </cfRule>
    <cfRule type="containsText" dxfId="93" priority="8" operator="containsText" text="Incomplete">
      <formula>NOT(ISERROR(SEARCH(("Incomplete"),(G1))))</formula>
    </cfRule>
  </conditionalFormatting>
  <conditionalFormatting sqref="I6:I23">
    <cfRule type="containsText" dxfId="92" priority="1" operator="containsText" text="Passed">
      <formula>NOT(ISERROR(SEARCH(("Passed"),(I6))))</formula>
    </cfRule>
    <cfRule type="containsText" dxfId="91" priority="2" operator="containsText" text="Failed">
      <formula>NOT(ISERROR(SEARCH(("Failed"),(I6))))</formula>
    </cfRule>
    <cfRule type="containsText" dxfId="90" priority="3" operator="containsText" text="Bug ok">
      <formula>NOT(ISERROR(SEARCH(("Bug ok"),(I6))))</formula>
    </cfRule>
    <cfRule type="containsText" dxfId="89" priority="4" operator="containsText" text="Blocked">
      <formula>NOT(ISERROR(SEARCH(("Blocked"),(I6))))</formula>
    </cfRule>
    <cfRule type="containsText" dxfId="88" priority="5" operator="containsText" text="Cannot run">
      <formula>NOT(ISERROR(SEARCH(("Cannot run"),(J6))))</formula>
    </cfRule>
  </conditionalFormatting>
  <dataValidations count="1">
    <dataValidation type="list" allowBlank="1" showErrorMessage="1" sqref="I6:I23" xr:uid="{67971504-CFE8-4326-B677-D422719BA03A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7211-BB3D-4AF5-8422-D4DE46BB2266}">
  <dimension ref="A1:J23"/>
  <sheetViews>
    <sheetView workbookViewId="0">
      <selection activeCell="H3" sqref="H3"/>
    </sheetView>
  </sheetViews>
  <sheetFormatPr defaultRowHeight="14.5" x14ac:dyDescent="0.35"/>
  <cols>
    <col min="1" max="1" width="38.26953125" customWidth="1"/>
    <col min="2" max="10" width="28.1796875" customWidth="1"/>
  </cols>
  <sheetData>
    <row r="1" spans="1:10" ht="15.5" x14ac:dyDescent="0.35">
      <c r="A1" s="76"/>
      <c r="B1" s="85" t="s">
        <v>2</v>
      </c>
      <c r="C1" s="78"/>
      <c r="D1" s="79" t="s">
        <v>2447</v>
      </c>
      <c r="E1" s="101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85" t="s">
        <v>53</v>
      </c>
      <c r="C2" s="78"/>
      <c r="D2" s="86" t="s">
        <v>54</v>
      </c>
      <c r="E2" s="80"/>
      <c r="F2" s="82"/>
      <c r="G2" s="22">
        <f>COUNTIF(A1:A197,"TC-??")</f>
        <v>18</v>
      </c>
      <c r="H2" s="14">
        <f>COUNTIF(I4:I844,"Đạt")</f>
        <v>18</v>
      </c>
      <c r="I2" s="6">
        <f>COUNTIF(G4:G859,"Không Đạt")</f>
        <v>0</v>
      </c>
      <c r="J2" s="6">
        <f>COUNTIF(G4:G859,"Chưa Xong")</f>
        <v>0</v>
      </c>
    </row>
    <row r="3" spans="1:10" ht="18" x14ac:dyDescent="0.35">
      <c r="A3" s="76"/>
      <c r="B3" s="85" t="s">
        <v>55</v>
      </c>
      <c r="C3" s="78"/>
      <c r="D3" s="88">
        <v>46003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2448</v>
      </c>
      <c r="C6" s="17" t="s">
        <v>2433</v>
      </c>
      <c r="D6" s="17" t="s">
        <v>315</v>
      </c>
      <c r="E6" s="17" t="s">
        <v>2449</v>
      </c>
      <c r="F6" s="17" t="s">
        <v>2450</v>
      </c>
      <c r="G6" s="17" t="s">
        <v>2451</v>
      </c>
      <c r="H6" s="17" t="s">
        <v>2452</v>
      </c>
      <c r="I6" s="51" t="s">
        <v>4</v>
      </c>
    </row>
    <row r="7" spans="1:10" ht="29" x14ac:dyDescent="0.35">
      <c r="A7" s="17" t="s">
        <v>72</v>
      </c>
      <c r="B7" s="17" t="s">
        <v>2453</v>
      </c>
      <c r="C7" s="17" t="s">
        <v>2433</v>
      </c>
      <c r="D7" s="17" t="s">
        <v>1715</v>
      </c>
      <c r="E7" s="17" t="s">
        <v>2454</v>
      </c>
      <c r="F7" s="17" t="s">
        <v>2455</v>
      </c>
      <c r="G7" s="17" t="s">
        <v>2456</v>
      </c>
      <c r="H7" s="17" t="s">
        <v>2457</v>
      </c>
      <c r="I7" s="51" t="s">
        <v>4</v>
      </c>
    </row>
    <row r="8" spans="1:10" ht="29" x14ac:dyDescent="0.35">
      <c r="A8" s="17" t="s">
        <v>77</v>
      </c>
      <c r="B8" s="17" t="s">
        <v>2458</v>
      </c>
      <c r="C8" s="17" t="s">
        <v>2433</v>
      </c>
      <c r="D8" s="17" t="s">
        <v>2136</v>
      </c>
      <c r="E8" s="17" t="s">
        <v>2459</v>
      </c>
      <c r="F8" s="17" t="s">
        <v>2460</v>
      </c>
      <c r="G8" s="17" t="s">
        <v>2461</v>
      </c>
      <c r="H8" s="17" t="s">
        <v>2462</v>
      </c>
      <c r="I8" s="51" t="s">
        <v>4</v>
      </c>
    </row>
    <row r="9" spans="1:10" ht="29" x14ac:dyDescent="0.35">
      <c r="A9" s="17" t="s">
        <v>83</v>
      </c>
      <c r="B9" s="17" t="s">
        <v>2463</v>
      </c>
      <c r="C9" s="17" t="s">
        <v>2433</v>
      </c>
      <c r="D9" s="17" t="s">
        <v>1820</v>
      </c>
      <c r="E9" s="17" t="s">
        <v>2464</v>
      </c>
      <c r="F9" s="17" t="s">
        <v>2465</v>
      </c>
      <c r="G9" s="17" t="s">
        <v>2461</v>
      </c>
      <c r="H9" s="17" t="s">
        <v>2466</v>
      </c>
      <c r="I9" s="51" t="s">
        <v>4</v>
      </c>
    </row>
    <row r="10" spans="1:10" ht="43.5" x14ac:dyDescent="0.35">
      <c r="A10" s="17" t="s">
        <v>88</v>
      </c>
      <c r="B10" s="17" t="s">
        <v>2467</v>
      </c>
      <c r="C10" s="17" t="s">
        <v>2433</v>
      </c>
      <c r="D10" s="17" t="s">
        <v>2468</v>
      </c>
      <c r="E10" s="17" t="s">
        <v>2469</v>
      </c>
      <c r="F10" s="17" t="s">
        <v>2470</v>
      </c>
      <c r="G10" s="17" t="s">
        <v>2461</v>
      </c>
      <c r="H10" s="17" t="s">
        <v>2471</v>
      </c>
      <c r="I10" s="51" t="s">
        <v>4</v>
      </c>
    </row>
    <row r="11" spans="1:10" ht="58" x14ac:dyDescent="0.35">
      <c r="A11" s="17" t="s">
        <v>233</v>
      </c>
      <c r="B11" s="17" t="s">
        <v>2472</v>
      </c>
      <c r="C11" s="17" t="s">
        <v>2433</v>
      </c>
      <c r="D11" s="17" t="s">
        <v>2473</v>
      </c>
      <c r="E11" s="17" t="s">
        <v>2474</v>
      </c>
      <c r="F11" s="17" t="s">
        <v>2475</v>
      </c>
      <c r="G11" s="17" t="s">
        <v>2476</v>
      </c>
      <c r="H11" s="17" t="s">
        <v>2477</v>
      </c>
      <c r="I11" s="51" t="s">
        <v>4</v>
      </c>
    </row>
    <row r="12" spans="1:10" ht="29" x14ac:dyDescent="0.35">
      <c r="A12" s="17" t="s">
        <v>93</v>
      </c>
      <c r="B12" s="17" t="s">
        <v>2478</v>
      </c>
      <c r="C12" s="17" t="s">
        <v>2433</v>
      </c>
      <c r="D12" s="17" t="s">
        <v>2479</v>
      </c>
      <c r="E12" s="17" t="s">
        <v>2480</v>
      </c>
      <c r="F12" s="17" t="s">
        <v>2481</v>
      </c>
      <c r="G12" s="17" t="s">
        <v>2482</v>
      </c>
      <c r="H12" s="17" t="s">
        <v>2483</v>
      </c>
      <c r="I12" s="51" t="s">
        <v>4</v>
      </c>
    </row>
    <row r="13" spans="1:10" ht="29" x14ac:dyDescent="0.35">
      <c r="A13" s="17" t="s">
        <v>98</v>
      </c>
      <c r="B13" s="17" t="s">
        <v>2484</v>
      </c>
      <c r="C13" s="17" t="s">
        <v>2433</v>
      </c>
      <c r="D13" s="17" t="s">
        <v>1709</v>
      </c>
      <c r="E13" s="17" t="s">
        <v>2485</v>
      </c>
      <c r="F13" s="17" t="s">
        <v>2486</v>
      </c>
      <c r="G13" s="17" t="s">
        <v>2461</v>
      </c>
      <c r="H13" s="17" t="s">
        <v>2487</v>
      </c>
      <c r="I13" s="51" t="s">
        <v>4</v>
      </c>
    </row>
    <row r="14" spans="1:10" ht="29" x14ac:dyDescent="0.35">
      <c r="A14" s="17" t="s">
        <v>105</v>
      </c>
      <c r="B14" s="17" t="s">
        <v>2488</v>
      </c>
      <c r="C14" s="17" t="s">
        <v>2433</v>
      </c>
      <c r="D14" s="17" t="s">
        <v>2489</v>
      </c>
      <c r="E14" s="17" t="s">
        <v>2490</v>
      </c>
      <c r="F14" s="17" t="s">
        <v>2491</v>
      </c>
      <c r="G14" s="17" t="s">
        <v>2492</v>
      </c>
      <c r="H14" s="17" t="s">
        <v>2493</v>
      </c>
      <c r="I14" s="51" t="s">
        <v>4</v>
      </c>
    </row>
    <row r="15" spans="1:10" ht="43.5" x14ac:dyDescent="0.35">
      <c r="A15" s="17" t="s">
        <v>113</v>
      </c>
      <c r="B15" s="17" t="s">
        <v>2494</v>
      </c>
      <c r="C15" s="17" t="s">
        <v>2433</v>
      </c>
      <c r="D15" s="17" t="s">
        <v>2495</v>
      </c>
      <c r="E15" s="17" t="s">
        <v>2496</v>
      </c>
      <c r="F15" s="17" t="s">
        <v>2497</v>
      </c>
      <c r="G15" s="17" t="s">
        <v>2498</v>
      </c>
      <c r="H15" s="17" t="s">
        <v>2499</v>
      </c>
      <c r="I15" s="51" t="s">
        <v>4</v>
      </c>
    </row>
    <row r="16" spans="1:10" ht="43.5" x14ac:dyDescent="0.35">
      <c r="A16" s="17" t="s">
        <v>119</v>
      </c>
      <c r="B16" s="17" t="s">
        <v>2500</v>
      </c>
      <c r="C16" s="17" t="s">
        <v>2501</v>
      </c>
      <c r="D16" s="17" t="s">
        <v>2502</v>
      </c>
      <c r="E16" s="17" t="s">
        <v>2318</v>
      </c>
      <c r="F16" s="17" t="s">
        <v>2503</v>
      </c>
      <c r="G16" s="17" t="s">
        <v>2504</v>
      </c>
      <c r="H16" s="17" t="s">
        <v>2505</v>
      </c>
      <c r="I16" s="51" t="s">
        <v>4</v>
      </c>
    </row>
    <row r="17" spans="1:9" ht="43.5" x14ac:dyDescent="0.35">
      <c r="A17" s="17" t="s">
        <v>125</v>
      </c>
      <c r="B17" s="17" t="s">
        <v>2506</v>
      </c>
      <c r="C17" s="17" t="s">
        <v>2501</v>
      </c>
      <c r="D17" s="17" t="s">
        <v>1268</v>
      </c>
      <c r="E17" s="17" t="s">
        <v>2507</v>
      </c>
      <c r="F17" s="17" t="s">
        <v>2508</v>
      </c>
      <c r="G17" s="17" t="s">
        <v>2509</v>
      </c>
      <c r="H17" s="17" t="s">
        <v>2510</v>
      </c>
      <c r="I17" s="51" t="s">
        <v>4</v>
      </c>
    </row>
    <row r="18" spans="1:9" ht="43.5" x14ac:dyDescent="0.35">
      <c r="A18" s="17" t="s">
        <v>132</v>
      </c>
      <c r="B18" s="17" t="s">
        <v>2511</v>
      </c>
      <c r="C18" s="17" t="s">
        <v>2501</v>
      </c>
      <c r="D18" s="17" t="s">
        <v>2512</v>
      </c>
      <c r="E18" s="17" t="s">
        <v>2210</v>
      </c>
      <c r="F18" s="17" t="s">
        <v>2513</v>
      </c>
      <c r="G18" s="17" t="s">
        <v>2514</v>
      </c>
      <c r="H18" s="17" t="s">
        <v>2515</v>
      </c>
      <c r="I18" s="51" t="s">
        <v>4</v>
      </c>
    </row>
    <row r="19" spans="1:9" ht="43.5" x14ac:dyDescent="0.35">
      <c r="A19" s="17" t="s">
        <v>138</v>
      </c>
      <c r="B19" s="17" t="s">
        <v>2516</v>
      </c>
      <c r="C19" s="17" t="s">
        <v>2501</v>
      </c>
      <c r="D19" s="17" t="s">
        <v>2512</v>
      </c>
      <c r="E19" s="17" t="s">
        <v>2517</v>
      </c>
      <c r="F19" s="17" t="s">
        <v>2518</v>
      </c>
      <c r="G19" s="17" t="s">
        <v>2519</v>
      </c>
      <c r="H19" s="17" t="s">
        <v>2520</v>
      </c>
      <c r="I19" s="51" t="s">
        <v>4</v>
      </c>
    </row>
    <row r="20" spans="1:9" ht="43.5" x14ac:dyDescent="0.35">
      <c r="A20" s="17" t="s">
        <v>144</v>
      </c>
      <c r="B20" s="17" t="s">
        <v>2521</v>
      </c>
      <c r="C20" s="17" t="s">
        <v>2501</v>
      </c>
      <c r="D20" s="17" t="s">
        <v>2522</v>
      </c>
      <c r="E20" s="17" t="s">
        <v>2523</v>
      </c>
      <c r="F20" s="17" t="s">
        <v>2524</v>
      </c>
      <c r="G20" s="17" t="s">
        <v>2525</v>
      </c>
      <c r="H20" s="17" t="s">
        <v>2526</v>
      </c>
      <c r="I20" s="51" t="s">
        <v>4</v>
      </c>
    </row>
    <row r="21" spans="1:9" ht="43.5" x14ac:dyDescent="0.35">
      <c r="A21" s="17" t="s">
        <v>150</v>
      </c>
      <c r="B21" s="17" t="s">
        <v>2527</v>
      </c>
      <c r="C21" s="17" t="s">
        <v>2501</v>
      </c>
      <c r="D21" s="17" t="s">
        <v>2528</v>
      </c>
      <c r="E21" s="17" t="s">
        <v>2529</v>
      </c>
      <c r="F21" s="17" t="s">
        <v>2530</v>
      </c>
      <c r="G21" s="17" t="s">
        <v>2531</v>
      </c>
      <c r="H21" s="17" t="s">
        <v>2532</v>
      </c>
      <c r="I21" s="51" t="s">
        <v>4</v>
      </c>
    </row>
    <row r="22" spans="1:9" ht="43.5" x14ac:dyDescent="0.35">
      <c r="A22" s="17" t="s">
        <v>157</v>
      </c>
      <c r="B22" s="17" t="s">
        <v>2533</v>
      </c>
      <c r="C22" s="17" t="s">
        <v>2501</v>
      </c>
      <c r="D22" s="17" t="s">
        <v>2534</v>
      </c>
      <c r="E22" s="17" t="s">
        <v>2535</v>
      </c>
      <c r="F22" s="17" t="s">
        <v>2536</v>
      </c>
      <c r="G22" s="17" t="s">
        <v>2537</v>
      </c>
      <c r="H22" s="17" t="s">
        <v>2538</v>
      </c>
      <c r="I22" s="51" t="s">
        <v>4</v>
      </c>
    </row>
    <row r="23" spans="1:9" ht="58" x14ac:dyDescent="0.35">
      <c r="A23" s="17" t="s">
        <v>163</v>
      </c>
      <c r="B23" s="17" t="s">
        <v>2539</v>
      </c>
      <c r="C23" s="17" t="s">
        <v>2540</v>
      </c>
      <c r="D23" s="17" t="s">
        <v>1952</v>
      </c>
      <c r="E23" s="17" t="s">
        <v>2541</v>
      </c>
      <c r="F23" s="17" t="s">
        <v>2542</v>
      </c>
      <c r="G23" s="17" t="s">
        <v>2543</v>
      </c>
      <c r="H23" s="17" t="s">
        <v>2544</v>
      </c>
      <c r="I23" s="51" t="s">
        <v>4</v>
      </c>
    </row>
  </sheetData>
  <mergeCells count="8">
    <mergeCell ref="A1:A3"/>
    <mergeCell ref="B1:C1"/>
    <mergeCell ref="D1:E1"/>
    <mergeCell ref="F1:F3"/>
    <mergeCell ref="B2:C2"/>
    <mergeCell ref="D2:E2"/>
    <mergeCell ref="B3:C3"/>
    <mergeCell ref="D3:E3"/>
  </mergeCells>
  <conditionalFormatting sqref="G1">
    <cfRule type="containsText" dxfId="87" priority="6" operator="containsText" text="Passed">
      <formula>NOT(ISERROR(SEARCH(("Passed"),(G1))))</formula>
    </cfRule>
    <cfRule type="containsText" dxfId="86" priority="7" operator="containsText" text="Failed">
      <formula>NOT(ISERROR(SEARCH(("Failed"),(G1))))</formula>
    </cfRule>
    <cfRule type="containsText" dxfId="85" priority="8" operator="containsText" text="Incomplete">
      <formula>NOT(ISERROR(SEARCH(("Incomplete"),(G1))))</formula>
    </cfRule>
  </conditionalFormatting>
  <conditionalFormatting sqref="I6:I23">
    <cfRule type="containsText" dxfId="84" priority="1" operator="containsText" text="Passed">
      <formula>NOT(ISERROR(SEARCH(("Passed"),(I6))))</formula>
    </cfRule>
    <cfRule type="containsText" dxfId="83" priority="2" operator="containsText" text="Failed">
      <formula>NOT(ISERROR(SEARCH(("Failed"),(I6))))</formula>
    </cfRule>
    <cfRule type="containsText" dxfId="82" priority="3" operator="containsText" text="Bug ok">
      <formula>NOT(ISERROR(SEARCH(("Bug ok"),(I6))))</formula>
    </cfRule>
    <cfRule type="containsText" dxfId="81" priority="4" operator="containsText" text="Blocked">
      <formula>NOT(ISERROR(SEARCH(("Blocked"),(I6))))</formula>
    </cfRule>
    <cfRule type="containsText" dxfId="80" priority="5" operator="containsText" text="Cannot run">
      <formula>NOT(ISERROR(SEARCH(("Cannot run"),(J6))))</formula>
    </cfRule>
  </conditionalFormatting>
  <dataValidations count="1">
    <dataValidation type="list" allowBlank="1" showErrorMessage="1" sqref="I6:I23" xr:uid="{A3D3F959-55A9-450F-9AB3-160BFDECC38D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133F-7045-4F50-9787-DD3128AD91B1}">
  <dimension ref="A1:J20"/>
  <sheetViews>
    <sheetView workbookViewId="0">
      <selection activeCell="H3" sqref="H3"/>
    </sheetView>
  </sheetViews>
  <sheetFormatPr defaultRowHeight="14.5" x14ac:dyDescent="0.35"/>
  <cols>
    <col min="1" max="1" width="37.81640625" customWidth="1"/>
    <col min="2" max="10" width="27.26953125" customWidth="1"/>
  </cols>
  <sheetData>
    <row r="1" spans="1:10" ht="15.5" x14ac:dyDescent="0.35">
      <c r="A1" s="76"/>
      <c r="B1" s="106" t="s">
        <v>2</v>
      </c>
      <c r="C1" s="107"/>
      <c r="D1" s="103" t="s">
        <v>40</v>
      </c>
      <c r="E1" s="101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106" t="s">
        <v>53</v>
      </c>
      <c r="C2" s="107"/>
      <c r="D2" s="104" t="s">
        <v>54</v>
      </c>
      <c r="E2" s="80"/>
      <c r="F2" s="82"/>
      <c r="G2" s="22">
        <f>COUNTIF(A1:A197,"TC-??")</f>
        <v>15</v>
      </c>
      <c r="H2" s="14">
        <f>COUNTIF(I4:I844,"Đạt")</f>
        <v>15</v>
      </c>
      <c r="I2" s="6">
        <f>COUNTIF(G4:G859,"Không Đạt")</f>
        <v>0</v>
      </c>
      <c r="J2" s="6">
        <f>COUNTIF(G4:G859,"Chưa Xong")</f>
        <v>0</v>
      </c>
    </row>
    <row r="3" spans="1:10" ht="18" x14ac:dyDescent="0.35">
      <c r="A3" s="76"/>
      <c r="B3" s="108" t="s">
        <v>55</v>
      </c>
      <c r="C3" s="109"/>
      <c r="D3" s="105">
        <v>46003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43.5" x14ac:dyDescent="0.35">
      <c r="A6" s="17" t="s">
        <v>65</v>
      </c>
      <c r="B6" s="17" t="s">
        <v>2545</v>
      </c>
      <c r="C6" s="17" t="s">
        <v>2546</v>
      </c>
      <c r="D6" s="17" t="s">
        <v>1914</v>
      </c>
      <c r="E6" s="17" t="s">
        <v>2547</v>
      </c>
      <c r="F6" s="17" t="s">
        <v>2548</v>
      </c>
      <c r="G6" s="17" t="s">
        <v>2549</v>
      </c>
      <c r="H6" s="17" t="s">
        <v>2550</v>
      </c>
      <c r="I6" s="51" t="s">
        <v>4</v>
      </c>
    </row>
    <row r="7" spans="1:10" ht="29" x14ac:dyDescent="0.35">
      <c r="A7" s="17" t="s">
        <v>72</v>
      </c>
      <c r="B7" s="17" t="s">
        <v>2551</v>
      </c>
      <c r="C7" s="17" t="s">
        <v>2546</v>
      </c>
      <c r="D7" s="17" t="s">
        <v>2552</v>
      </c>
      <c r="E7" s="17" t="s">
        <v>2553</v>
      </c>
      <c r="F7" s="17" t="s">
        <v>2554</v>
      </c>
      <c r="G7" s="17" t="s">
        <v>2555</v>
      </c>
      <c r="H7" s="17" t="s">
        <v>2556</v>
      </c>
      <c r="I7" s="51" t="s">
        <v>4</v>
      </c>
    </row>
    <row r="8" spans="1:10" ht="29" x14ac:dyDescent="0.35">
      <c r="A8" s="17" t="s">
        <v>77</v>
      </c>
      <c r="B8" s="17" t="s">
        <v>2557</v>
      </c>
      <c r="C8" s="17" t="s">
        <v>2546</v>
      </c>
      <c r="D8" s="17" t="s">
        <v>2558</v>
      </c>
      <c r="E8" s="17" t="s">
        <v>2559</v>
      </c>
      <c r="F8" s="17" t="s">
        <v>2560</v>
      </c>
      <c r="G8" s="17" t="s">
        <v>2561</v>
      </c>
      <c r="H8" s="17" t="s">
        <v>2562</v>
      </c>
      <c r="I8" s="51" t="s">
        <v>4</v>
      </c>
    </row>
    <row r="9" spans="1:10" ht="29" x14ac:dyDescent="0.35">
      <c r="A9" s="17" t="s">
        <v>83</v>
      </c>
      <c r="B9" s="17" t="s">
        <v>2563</v>
      </c>
      <c r="C9" s="17" t="s">
        <v>2546</v>
      </c>
      <c r="D9" s="17" t="s">
        <v>2564</v>
      </c>
      <c r="E9" s="17" t="s">
        <v>2565</v>
      </c>
      <c r="F9" s="17" t="s">
        <v>2566</v>
      </c>
      <c r="G9" s="17" t="s">
        <v>2567</v>
      </c>
      <c r="H9" s="17" t="s">
        <v>2568</v>
      </c>
      <c r="I9" s="51" t="s">
        <v>4</v>
      </c>
    </row>
    <row r="10" spans="1:10" ht="29" x14ac:dyDescent="0.35">
      <c r="A10" s="17" t="s">
        <v>88</v>
      </c>
      <c r="B10" s="17" t="s">
        <v>2569</v>
      </c>
      <c r="C10" s="17" t="s">
        <v>2546</v>
      </c>
      <c r="D10" s="17" t="s">
        <v>2564</v>
      </c>
      <c r="E10" s="17" t="s">
        <v>2570</v>
      </c>
      <c r="F10" s="17" t="s">
        <v>2566</v>
      </c>
      <c r="G10" s="17" t="s">
        <v>2571</v>
      </c>
      <c r="H10" s="17" t="s">
        <v>2572</v>
      </c>
      <c r="I10" s="51" t="s">
        <v>4</v>
      </c>
    </row>
    <row r="11" spans="1:10" ht="29" x14ac:dyDescent="0.35">
      <c r="A11" s="17" t="s">
        <v>233</v>
      </c>
      <c r="B11" s="17" t="s">
        <v>2573</v>
      </c>
      <c r="C11" s="17" t="s">
        <v>2546</v>
      </c>
      <c r="D11" s="17" t="s">
        <v>2564</v>
      </c>
      <c r="E11" s="17" t="s">
        <v>2574</v>
      </c>
      <c r="F11" s="17" t="s">
        <v>2566</v>
      </c>
      <c r="G11" s="17" t="s">
        <v>2575</v>
      </c>
      <c r="H11" s="17" t="s">
        <v>2576</v>
      </c>
      <c r="I11" s="51" t="s">
        <v>4</v>
      </c>
    </row>
    <row r="12" spans="1:10" ht="43.5" x14ac:dyDescent="0.35">
      <c r="A12" s="17" t="s">
        <v>93</v>
      </c>
      <c r="B12" s="17" t="s">
        <v>2577</v>
      </c>
      <c r="C12" s="17" t="s">
        <v>2546</v>
      </c>
      <c r="D12" s="17" t="s">
        <v>1344</v>
      </c>
      <c r="E12" s="17" t="s">
        <v>225</v>
      </c>
      <c r="F12" s="17" t="s">
        <v>2578</v>
      </c>
      <c r="G12" s="17" t="s">
        <v>1861</v>
      </c>
      <c r="H12" s="17" t="s">
        <v>2579</v>
      </c>
      <c r="I12" s="51" t="s">
        <v>4</v>
      </c>
    </row>
    <row r="13" spans="1:10" ht="29" x14ac:dyDescent="0.35">
      <c r="A13" s="17" t="s">
        <v>98</v>
      </c>
      <c r="B13" s="17" t="s">
        <v>2580</v>
      </c>
      <c r="C13" s="17" t="s">
        <v>2546</v>
      </c>
      <c r="D13" s="17" t="s">
        <v>2581</v>
      </c>
      <c r="E13" s="17" t="s">
        <v>1978</v>
      </c>
      <c r="F13" s="17" t="s">
        <v>2582</v>
      </c>
      <c r="G13" s="17" t="s">
        <v>2583</v>
      </c>
      <c r="H13" s="17" t="s">
        <v>2584</v>
      </c>
      <c r="I13" s="51" t="s">
        <v>4</v>
      </c>
    </row>
    <row r="14" spans="1:10" ht="29" x14ac:dyDescent="0.35">
      <c r="A14" s="17" t="s">
        <v>105</v>
      </c>
      <c r="B14" s="17" t="s">
        <v>2585</v>
      </c>
      <c r="C14" s="17" t="s">
        <v>2546</v>
      </c>
      <c r="D14" s="17" t="s">
        <v>2586</v>
      </c>
      <c r="E14" s="17" t="s">
        <v>2587</v>
      </c>
      <c r="F14" s="17" t="s">
        <v>2588</v>
      </c>
      <c r="G14" s="17" t="s">
        <v>2589</v>
      </c>
      <c r="H14" s="17" t="s">
        <v>2590</v>
      </c>
      <c r="I14" s="51" t="s">
        <v>4</v>
      </c>
    </row>
    <row r="15" spans="1:10" ht="29" x14ac:dyDescent="0.35">
      <c r="A15" s="17" t="s">
        <v>113</v>
      </c>
      <c r="B15" s="17" t="s">
        <v>2591</v>
      </c>
      <c r="C15" s="17" t="s">
        <v>2546</v>
      </c>
      <c r="D15" s="17" t="s">
        <v>2592</v>
      </c>
      <c r="E15" s="17" t="s">
        <v>2593</v>
      </c>
      <c r="F15" s="17" t="s">
        <v>2149</v>
      </c>
      <c r="G15" s="17" t="s">
        <v>2594</v>
      </c>
      <c r="H15" s="17" t="s">
        <v>2595</v>
      </c>
      <c r="I15" s="51" t="s">
        <v>4</v>
      </c>
    </row>
    <row r="16" spans="1:10" ht="29" x14ac:dyDescent="0.35">
      <c r="A16" s="17" t="s">
        <v>119</v>
      </c>
      <c r="B16" s="17" t="s">
        <v>2596</v>
      </c>
      <c r="C16" s="17" t="s">
        <v>2546</v>
      </c>
      <c r="D16" s="17" t="s">
        <v>2597</v>
      </c>
      <c r="E16" s="17" t="s">
        <v>2598</v>
      </c>
      <c r="F16" s="17" t="s">
        <v>2599</v>
      </c>
      <c r="G16" s="17" t="s">
        <v>2600</v>
      </c>
      <c r="H16" s="17" t="s">
        <v>2601</v>
      </c>
      <c r="I16" s="51" t="s">
        <v>4</v>
      </c>
    </row>
    <row r="17" spans="1:9" ht="29" x14ac:dyDescent="0.35">
      <c r="A17" s="17" t="s">
        <v>125</v>
      </c>
      <c r="B17" s="17" t="s">
        <v>2602</v>
      </c>
      <c r="C17" s="17" t="s">
        <v>2546</v>
      </c>
      <c r="D17" s="17" t="s">
        <v>2603</v>
      </c>
      <c r="E17" s="17" t="s">
        <v>2598</v>
      </c>
      <c r="F17" s="17" t="s">
        <v>2604</v>
      </c>
      <c r="G17" s="17" t="s">
        <v>2605</v>
      </c>
      <c r="H17" s="17" t="s">
        <v>2606</v>
      </c>
      <c r="I17" s="51" t="s">
        <v>4</v>
      </c>
    </row>
    <row r="18" spans="1:9" ht="29" x14ac:dyDescent="0.35">
      <c r="A18" s="17" t="s">
        <v>132</v>
      </c>
      <c r="B18" s="17" t="s">
        <v>2607</v>
      </c>
      <c r="C18" s="17" t="s">
        <v>2546</v>
      </c>
      <c r="D18" s="17" t="s">
        <v>2608</v>
      </c>
      <c r="E18" s="17" t="s">
        <v>2609</v>
      </c>
      <c r="F18" s="17" t="s">
        <v>2610</v>
      </c>
      <c r="G18" s="17" t="s">
        <v>2611</v>
      </c>
      <c r="H18" s="17" t="s">
        <v>2612</v>
      </c>
      <c r="I18" s="51" t="s">
        <v>4</v>
      </c>
    </row>
    <row r="19" spans="1:9" ht="29" x14ac:dyDescent="0.35">
      <c r="A19" s="17" t="s">
        <v>138</v>
      </c>
      <c r="B19" s="17" t="s">
        <v>2613</v>
      </c>
      <c r="C19" s="17" t="s">
        <v>2546</v>
      </c>
      <c r="D19" s="17" t="s">
        <v>2614</v>
      </c>
      <c r="E19" s="17" t="s">
        <v>2615</v>
      </c>
      <c r="F19" s="17" t="s">
        <v>2616</v>
      </c>
      <c r="G19" s="17" t="s">
        <v>2617</v>
      </c>
      <c r="H19" s="17" t="s">
        <v>2618</v>
      </c>
      <c r="I19" s="51" t="s">
        <v>4</v>
      </c>
    </row>
    <row r="20" spans="1:9" ht="29" x14ac:dyDescent="0.35">
      <c r="A20" s="17" t="s">
        <v>144</v>
      </c>
      <c r="B20" s="17" t="s">
        <v>2619</v>
      </c>
      <c r="C20" s="17" t="s">
        <v>2546</v>
      </c>
      <c r="D20" s="17" t="s">
        <v>1579</v>
      </c>
      <c r="E20" s="17" t="s">
        <v>2620</v>
      </c>
      <c r="F20" s="17" t="s">
        <v>1892</v>
      </c>
      <c r="G20" s="17" t="s">
        <v>2621</v>
      </c>
      <c r="H20" s="17" t="s">
        <v>2622</v>
      </c>
      <c r="I20" s="51" t="s">
        <v>4</v>
      </c>
    </row>
  </sheetData>
  <mergeCells count="8">
    <mergeCell ref="A1:A3"/>
    <mergeCell ref="D1:E1"/>
    <mergeCell ref="F1:F3"/>
    <mergeCell ref="D2:E2"/>
    <mergeCell ref="D3:E3"/>
    <mergeCell ref="B1:C1"/>
    <mergeCell ref="B2:C2"/>
    <mergeCell ref="B3:C3"/>
  </mergeCells>
  <conditionalFormatting sqref="G1">
    <cfRule type="containsText" dxfId="79" priority="6" operator="containsText" text="Passed">
      <formula>NOT(ISERROR(SEARCH(("Passed"),(G1))))</formula>
    </cfRule>
    <cfRule type="containsText" dxfId="78" priority="7" operator="containsText" text="Failed">
      <formula>NOT(ISERROR(SEARCH(("Failed"),(G1))))</formula>
    </cfRule>
    <cfRule type="containsText" dxfId="77" priority="8" operator="containsText" text="Incomplete">
      <formula>NOT(ISERROR(SEARCH(("Incomplete"),(G1))))</formula>
    </cfRule>
  </conditionalFormatting>
  <conditionalFormatting sqref="I6:I20">
    <cfRule type="containsText" dxfId="76" priority="1" operator="containsText" text="Passed">
      <formula>NOT(ISERROR(SEARCH(("Passed"),(I6))))</formula>
    </cfRule>
    <cfRule type="containsText" dxfId="75" priority="2" operator="containsText" text="Failed">
      <formula>NOT(ISERROR(SEARCH(("Failed"),(I6))))</formula>
    </cfRule>
    <cfRule type="containsText" dxfId="74" priority="3" operator="containsText" text="Bug ok">
      <formula>NOT(ISERROR(SEARCH(("Bug ok"),(I6))))</formula>
    </cfRule>
    <cfRule type="containsText" dxfId="73" priority="4" operator="containsText" text="Blocked">
      <formula>NOT(ISERROR(SEARCH(("Blocked"),(I6))))</formula>
    </cfRule>
    <cfRule type="containsText" dxfId="72" priority="5" operator="containsText" text="Cannot run">
      <formula>NOT(ISERROR(SEARCH(("Cannot run"),(J6))))</formula>
    </cfRule>
  </conditionalFormatting>
  <dataValidations count="1">
    <dataValidation type="list" allowBlank="1" showErrorMessage="1" sqref="I6:I20" xr:uid="{34D27CD3-1633-4D08-88BD-3AF67229AF6D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FCFC-B81D-489F-9B8A-15F7477E9BFE}">
  <dimension ref="A1:J59"/>
  <sheetViews>
    <sheetView topLeftCell="B1" workbookViewId="0">
      <selection activeCell="H3" sqref="H3"/>
    </sheetView>
  </sheetViews>
  <sheetFormatPr defaultRowHeight="14.5" x14ac:dyDescent="0.35"/>
  <cols>
    <col min="1" max="1" width="38.81640625" customWidth="1"/>
    <col min="2" max="7" width="27.81640625" customWidth="1"/>
    <col min="8" max="8" width="37.7265625" customWidth="1"/>
    <col min="9" max="9" width="33.26953125" customWidth="1"/>
    <col min="10" max="10" width="27.81640625" customWidth="1"/>
  </cols>
  <sheetData>
    <row r="1" spans="1:10" ht="15.5" x14ac:dyDescent="0.35">
      <c r="A1" s="76"/>
      <c r="B1" s="110" t="s">
        <v>2</v>
      </c>
      <c r="C1" s="111"/>
      <c r="D1" s="79" t="s">
        <v>2623</v>
      </c>
      <c r="E1" s="101"/>
      <c r="F1" s="87"/>
      <c r="G1" s="18" t="s">
        <v>52</v>
      </c>
      <c r="H1" s="10" t="s">
        <v>4</v>
      </c>
      <c r="I1" s="20" t="s">
        <v>5</v>
      </c>
      <c r="J1" s="21" t="s">
        <v>6</v>
      </c>
    </row>
    <row r="2" spans="1:10" ht="18" x14ac:dyDescent="0.35">
      <c r="A2" s="76"/>
      <c r="B2" s="110" t="s">
        <v>53</v>
      </c>
      <c r="C2" s="111"/>
      <c r="D2" s="86" t="s">
        <v>54</v>
      </c>
      <c r="E2" s="80"/>
      <c r="F2" s="82"/>
      <c r="G2" s="22">
        <f>COUNTIF(A1:A197,"TC-??")</f>
        <v>20</v>
      </c>
      <c r="H2" s="14">
        <f>COUNTIF(I4:I844,"Đạt")</f>
        <v>20</v>
      </c>
      <c r="I2" s="6">
        <f>COUNTIF(G4:G859,"Không Đạt")</f>
        <v>0</v>
      </c>
      <c r="J2" s="6">
        <f>COUNTIF(G4:G859,"Chưa Xong")</f>
        <v>0</v>
      </c>
    </row>
    <row r="3" spans="1:10" ht="18" x14ac:dyDescent="0.35">
      <c r="A3" s="76"/>
      <c r="B3" s="112" t="s">
        <v>55</v>
      </c>
      <c r="C3" s="113"/>
      <c r="D3" s="88">
        <v>46003</v>
      </c>
      <c r="E3" s="80"/>
      <c r="F3" s="83"/>
      <c r="G3" s="23">
        <f>SUM(H3+I3+J3)</f>
        <v>1</v>
      </c>
      <c r="H3" s="16">
        <f>H2/G2</f>
        <v>1</v>
      </c>
      <c r="I3" s="24">
        <f>I2/G2</f>
        <v>0</v>
      </c>
      <c r="J3" s="23">
        <f>J2/G2</f>
        <v>0</v>
      </c>
    </row>
    <row r="5" spans="1:10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10" ht="29" x14ac:dyDescent="0.35">
      <c r="A6" s="32" t="s">
        <v>65</v>
      </c>
      <c r="B6" s="32" t="s">
        <v>2624</v>
      </c>
      <c r="C6" s="32" t="s">
        <v>2625</v>
      </c>
      <c r="D6" s="32" t="s">
        <v>2626</v>
      </c>
      <c r="E6" s="32" t="s">
        <v>2627</v>
      </c>
      <c r="F6" s="32" t="s">
        <v>2628</v>
      </c>
      <c r="G6" s="32" t="s">
        <v>2629</v>
      </c>
      <c r="H6" s="32" t="s">
        <v>2630</v>
      </c>
      <c r="I6" s="51" t="s">
        <v>4</v>
      </c>
    </row>
    <row r="7" spans="1:10" ht="29" x14ac:dyDescent="0.35">
      <c r="A7" s="32" t="s">
        <v>72</v>
      </c>
      <c r="B7" s="32" t="s">
        <v>2631</v>
      </c>
      <c r="C7" s="32" t="s">
        <v>2625</v>
      </c>
      <c r="D7" s="32" t="s">
        <v>2632</v>
      </c>
      <c r="E7" s="32" t="s">
        <v>2633</v>
      </c>
      <c r="F7" s="32" t="s">
        <v>2634</v>
      </c>
      <c r="G7" s="32" t="s">
        <v>2635</v>
      </c>
      <c r="H7" s="32" t="s">
        <v>2636</v>
      </c>
      <c r="I7" s="51" t="s">
        <v>4</v>
      </c>
    </row>
    <row r="8" spans="1:10" ht="29" x14ac:dyDescent="0.35">
      <c r="A8" s="32" t="s">
        <v>77</v>
      </c>
      <c r="B8" s="32" t="s">
        <v>2637</v>
      </c>
      <c r="C8" s="32" t="s">
        <v>2625</v>
      </c>
      <c r="D8" s="32" t="s">
        <v>2638</v>
      </c>
      <c r="E8" s="32" t="s">
        <v>2633</v>
      </c>
      <c r="F8" s="32" t="s">
        <v>2639</v>
      </c>
      <c r="G8" s="32" t="s">
        <v>2640</v>
      </c>
      <c r="H8" s="32" t="s">
        <v>2641</v>
      </c>
      <c r="I8" s="51" t="s">
        <v>4</v>
      </c>
    </row>
    <row r="9" spans="1:10" ht="29" x14ac:dyDescent="0.35">
      <c r="A9" s="32" t="s">
        <v>83</v>
      </c>
      <c r="B9" s="32" t="s">
        <v>2642</v>
      </c>
      <c r="C9" s="32" t="s">
        <v>2625</v>
      </c>
      <c r="D9" s="32" t="s">
        <v>2136</v>
      </c>
      <c r="E9" s="32" t="s">
        <v>2643</v>
      </c>
      <c r="F9" s="32" t="s">
        <v>2644</v>
      </c>
      <c r="G9" s="32" t="s">
        <v>2645</v>
      </c>
      <c r="H9" s="32" t="s">
        <v>2646</v>
      </c>
      <c r="I9" s="51" t="s">
        <v>4</v>
      </c>
    </row>
    <row r="10" spans="1:10" ht="29" x14ac:dyDescent="0.35">
      <c r="A10" s="32" t="s">
        <v>88</v>
      </c>
      <c r="B10" s="32" t="s">
        <v>2647</v>
      </c>
      <c r="C10" s="32" t="s">
        <v>2625</v>
      </c>
      <c r="D10" s="32" t="s">
        <v>2648</v>
      </c>
      <c r="E10" s="32" t="s">
        <v>2649</v>
      </c>
      <c r="F10" s="32" t="s">
        <v>2650</v>
      </c>
      <c r="G10" s="32" t="s">
        <v>2651</v>
      </c>
      <c r="H10" s="32" t="s">
        <v>2652</v>
      </c>
      <c r="I10" s="51" t="s">
        <v>4</v>
      </c>
    </row>
    <row r="11" spans="1:10" ht="29" x14ac:dyDescent="0.35">
      <c r="A11" s="32" t="s">
        <v>233</v>
      </c>
      <c r="B11" s="32" t="s">
        <v>2653</v>
      </c>
      <c r="C11" s="32" t="s">
        <v>2625</v>
      </c>
      <c r="D11" s="32" t="s">
        <v>2648</v>
      </c>
      <c r="E11" s="32" t="s">
        <v>2649</v>
      </c>
      <c r="F11" s="32" t="s">
        <v>2654</v>
      </c>
      <c r="G11" s="32" t="s">
        <v>2655</v>
      </c>
      <c r="H11" s="32" t="s">
        <v>2656</v>
      </c>
      <c r="I11" s="51" t="s">
        <v>4</v>
      </c>
    </row>
    <row r="12" spans="1:10" ht="29" x14ac:dyDescent="0.35">
      <c r="A12" s="32" t="s">
        <v>93</v>
      </c>
      <c r="B12" s="32" t="s">
        <v>2657</v>
      </c>
      <c r="C12" s="32" t="s">
        <v>2625</v>
      </c>
      <c r="D12" s="32" t="s">
        <v>1430</v>
      </c>
      <c r="E12" s="32" t="s">
        <v>2658</v>
      </c>
      <c r="F12" s="32" t="s">
        <v>2219</v>
      </c>
      <c r="G12" s="32" t="s">
        <v>2659</v>
      </c>
      <c r="H12" s="32" t="s">
        <v>2660</v>
      </c>
      <c r="I12" s="51" t="s">
        <v>4</v>
      </c>
    </row>
    <row r="13" spans="1:10" ht="29" x14ac:dyDescent="0.35">
      <c r="A13" s="32" t="s">
        <v>98</v>
      </c>
      <c r="B13" s="32" t="s">
        <v>2661</v>
      </c>
      <c r="C13" s="32" t="s">
        <v>2625</v>
      </c>
      <c r="D13" s="32" t="s">
        <v>252</v>
      </c>
      <c r="E13" s="32" t="s">
        <v>2662</v>
      </c>
      <c r="F13" s="32" t="s">
        <v>2663</v>
      </c>
      <c r="G13" s="32" t="s">
        <v>2664</v>
      </c>
      <c r="H13" s="32" t="s">
        <v>2665</v>
      </c>
      <c r="I13" s="51" t="s">
        <v>4</v>
      </c>
    </row>
    <row r="14" spans="1:10" ht="29" x14ac:dyDescent="0.35">
      <c r="A14" s="32" t="s">
        <v>105</v>
      </c>
      <c r="B14" s="32" t="s">
        <v>2666</v>
      </c>
      <c r="C14" s="32" t="s">
        <v>2625</v>
      </c>
      <c r="D14" s="32" t="s">
        <v>2667</v>
      </c>
      <c r="E14" s="32" t="s">
        <v>2668</v>
      </c>
      <c r="F14" s="32" t="s">
        <v>2669</v>
      </c>
      <c r="G14" s="32" t="s">
        <v>2670</v>
      </c>
      <c r="H14" s="32" t="s">
        <v>2671</v>
      </c>
      <c r="I14" s="51" t="s">
        <v>4</v>
      </c>
    </row>
    <row r="15" spans="1:10" ht="29" x14ac:dyDescent="0.35">
      <c r="A15" s="32" t="s">
        <v>113</v>
      </c>
      <c r="B15" s="32" t="s">
        <v>2672</v>
      </c>
      <c r="C15" s="32" t="s">
        <v>2625</v>
      </c>
      <c r="D15" s="32" t="s">
        <v>2673</v>
      </c>
      <c r="E15" s="32" t="s">
        <v>2674</v>
      </c>
      <c r="F15" s="32" t="s">
        <v>2675</v>
      </c>
      <c r="G15" s="32" t="s">
        <v>2676</v>
      </c>
      <c r="H15" s="32" t="s">
        <v>2677</v>
      </c>
      <c r="I15" s="51" t="s">
        <v>4</v>
      </c>
    </row>
    <row r="16" spans="1:10" ht="29" x14ac:dyDescent="0.35">
      <c r="A16" s="32" t="s">
        <v>119</v>
      </c>
      <c r="B16" s="32" t="s">
        <v>2678</v>
      </c>
      <c r="C16" s="32" t="s">
        <v>2625</v>
      </c>
      <c r="D16" s="32" t="s">
        <v>2679</v>
      </c>
      <c r="E16" s="32" t="s">
        <v>2680</v>
      </c>
      <c r="F16" s="32" t="s">
        <v>2681</v>
      </c>
      <c r="G16" s="32" t="s">
        <v>2682</v>
      </c>
      <c r="H16" s="32" t="s">
        <v>2683</v>
      </c>
      <c r="I16" s="51" t="s">
        <v>4</v>
      </c>
    </row>
    <row r="17" spans="1:9" ht="29" x14ac:dyDescent="0.35">
      <c r="A17" s="32" t="s">
        <v>125</v>
      </c>
      <c r="B17" s="32" t="s">
        <v>2684</v>
      </c>
      <c r="C17" s="32" t="s">
        <v>2625</v>
      </c>
      <c r="D17" s="32" t="s">
        <v>2685</v>
      </c>
      <c r="E17" s="32" t="s">
        <v>2686</v>
      </c>
      <c r="F17" s="32" t="s">
        <v>2687</v>
      </c>
      <c r="G17" s="32" t="s">
        <v>2688</v>
      </c>
      <c r="H17" s="32" t="s">
        <v>2689</v>
      </c>
      <c r="I17" s="51" t="s">
        <v>4</v>
      </c>
    </row>
    <row r="18" spans="1:9" ht="29" x14ac:dyDescent="0.35">
      <c r="A18" s="32" t="s">
        <v>132</v>
      </c>
      <c r="B18" s="32" t="s">
        <v>2690</v>
      </c>
      <c r="C18" s="32" t="s">
        <v>2625</v>
      </c>
      <c r="D18" s="32" t="s">
        <v>2691</v>
      </c>
      <c r="E18" s="32" t="s">
        <v>2692</v>
      </c>
      <c r="F18" s="32" t="s">
        <v>2693</v>
      </c>
      <c r="G18" s="32" t="s">
        <v>2694</v>
      </c>
      <c r="H18" s="32" t="s">
        <v>2695</v>
      </c>
      <c r="I18" s="51" t="s">
        <v>4</v>
      </c>
    </row>
    <row r="19" spans="1:9" ht="29" x14ac:dyDescent="0.35">
      <c r="A19" s="32" t="s">
        <v>138</v>
      </c>
      <c r="B19" s="32" t="s">
        <v>2696</v>
      </c>
      <c r="C19" s="32" t="s">
        <v>2625</v>
      </c>
      <c r="D19" s="32" t="s">
        <v>1952</v>
      </c>
      <c r="E19" s="32" t="s">
        <v>1953</v>
      </c>
      <c r="F19" s="32" t="s">
        <v>2697</v>
      </c>
      <c r="G19" s="32" t="s">
        <v>2698</v>
      </c>
      <c r="H19" s="32" t="s">
        <v>2699</v>
      </c>
      <c r="I19" s="51" t="s">
        <v>4</v>
      </c>
    </row>
    <row r="20" spans="1:9" ht="29" x14ac:dyDescent="0.35">
      <c r="A20" s="32" t="s">
        <v>144</v>
      </c>
      <c r="B20" s="32" t="s">
        <v>2700</v>
      </c>
      <c r="C20" s="32" t="s">
        <v>2625</v>
      </c>
      <c r="D20" s="32" t="s">
        <v>2142</v>
      </c>
      <c r="E20" s="32" t="s">
        <v>2701</v>
      </c>
      <c r="F20" s="32" t="s">
        <v>2702</v>
      </c>
      <c r="G20" s="32" t="s">
        <v>2703</v>
      </c>
      <c r="H20" s="32" t="s">
        <v>2704</v>
      </c>
      <c r="I20" s="51" t="s">
        <v>4</v>
      </c>
    </row>
    <row r="21" spans="1:9" ht="29" x14ac:dyDescent="0.35">
      <c r="A21" s="32" t="s">
        <v>150</v>
      </c>
      <c r="B21" s="32" t="s">
        <v>2705</v>
      </c>
      <c r="C21" s="32" t="s">
        <v>2625</v>
      </c>
      <c r="D21" s="32" t="s">
        <v>2706</v>
      </c>
      <c r="E21" s="32" t="s">
        <v>515</v>
      </c>
      <c r="F21" s="32" t="s">
        <v>468</v>
      </c>
      <c r="G21" s="32" t="s">
        <v>2707</v>
      </c>
      <c r="H21" s="32" t="s">
        <v>2708</v>
      </c>
      <c r="I21" s="51" t="s">
        <v>4</v>
      </c>
    </row>
    <row r="22" spans="1:9" ht="29" x14ac:dyDescent="0.35">
      <c r="A22" s="32" t="s">
        <v>157</v>
      </c>
      <c r="B22" s="32" t="s">
        <v>2709</v>
      </c>
      <c r="C22" s="32" t="s">
        <v>2625</v>
      </c>
      <c r="D22" s="32" t="s">
        <v>2710</v>
      </c>
      <c r="E22" s="32" t="s">
        <v>515</v>
      </c>
      <c r="F22" s="32" t="s">
        <v>2711</v>
      </c>
      <c r="G22" s="32" t="s">
        <v>2414</v>
      </c>
      <c r="H22" s="32" t="s">
        <v>2712</v>
      </c>
      <c r="I22" s="51" t="s">
        <v>4</v>
      </c>
    </row>
    <row r="23" spans="1:9" ht="29" x14ac:dyDescent="0.35">
      <c r="A23" s="32" t="s">
        <v>163</v>
      </c>
      <c r="B23" s="32" t="s">
        <v>2713</v>
      </c>
      <c r="C23" s="32" t="s">
        <v>2625</v>
      </c>
      <c r="D23" s="32" t="s">
        <v>2714</v>
      </c>
      <c r="E23" s="32" t="s">
        <v>2715</v>
      </c>
      <c r="F23" s="32" t="s">
        <v>2716</v>
      </c>
      <c r="G23" s="32" t="s">
        <v>2717</v>
      </c>
      <c r="H23" s="32" t="s">
        <v>2718</v>
      </c>
      <c r="I23" s="51" t="s">
        <v>4</v>
      </c>
    </row>
    <row r="24" spans="1:9" ht="29" x14ac:dyDescent="0.35">
      <c r="A24" s="32" t="s">
        <v>299</v>
      </c>
      <c r="B24" s="32" t="s">
        <v>2719</v>
      </c>
      <c r="C24" s="32" t="s">
        <v>2625</v>
      </c>
      <c r="D24" s="32" t="s">
        <v>1579</v>
      </c>
      <c r="E24" s="32" t="s">
        <v>2620</v>
      </c>
      <c r="F24" s="32" t="s">
        <v>1703</v>
      </c>
      <c r="G24" s="32" t="s">
        <v>2720</v>
      </c>
      <c r="H24" s="32" t="s">
        <v>2721</v>
      </c>
      <c r="I24" s="51" t="s">
        <v>4</v>
      </c>
    </row>
    <row r="25" spans="1:9" ht="29" x14ac:dyDescent="0.35">
      <c r="A25" s="32" t="s">
        <v>306</v>
      </c>
      <c r="B25" s="32" t="s">
        <v>2722</v>
      </c>
      <c r="C25" s="32" t="s">
        <v>2625</v>
      </c>
      <c r="D25" s="32" t="s">
        <v>2723</v>
      </c>
      <c r="E25" s="32" t="s">
        <v>2724</v>
      </c>
      <c r="F25" s="32" t="s">
        <v>2616</v>
      </c>
      <c r="G25" s="32" t="s">
        <v>2725</v>
      </c>
      <c r="H25" s="32" t="s">
        <v>2726</v>
      </c>
      <c r="I25" s="51" t="s">
        <v>4</v>
      </c>
    </row>
    <row r="26" spans="1:9" x14ac:dyDescent="0.35">
      <c r="A26" s="17"/>
      <c r="B26" s="17"/>
      <c r="C26" s="34"/>
      <c r="D26" s="17"/>
      <c r="E26" s="17"/>
      <c r="F26" s="34"/>
      <c r="G26" s="17"/>
      <c r="H26" s="17"/>
      <c r="I26" s="17"/>
    </row>
    <row r="27" spans="1:9" x14ac:dyDescent="0.35">
      <c r="A27" s="17"/>
      <c r="B27" s="17"/>
      <c r="C27" s="34"/>
      <c r="D27" s="17"/>
      <c r="E27" s="17"/>
      <c r="F27" s="34"/>
      <c r="G27" s="17"/>
      <c r="H27" s="17"/>
      <c r="I27" s="17"/>
    </row>
    <row r="28" spans="1:9" x14ac:dyDescent="0.35">
      <c r="A28" s="17"/>
      <c r="B28" s="17"/>
      <c r="C28" s="34"/>
      <c r="D28" s="17"/>
      <c r="E28" s="17"/>
      <c r="F28" s="34"/>
      <c r="G28" s="17"/>
      <c r="H28" s="17"/>
      <c r="I28" s="17"/>
    </row>
    <row r="29" spans="1:9" x14ac:dyDescent="0.35">
      <c r="A29" s="17"/>
      <c r="B29" s="17"/>
      <c r="C29" s="34"/>
      <c r="D29" s="17"/>
      <c r="E29" s="17"/>
      <c r="F29" s="34"/>
      <c r="G29" s="17"/>
      <c r="H29" s="17"/>
      <c r="I29" s="17"/>
    </row>
    <row r="30" spans="1:9" x14ac:dyDescent="0.35">
      <c r="A30" s="17"/>
      <c r="B30" s="17"/>
      <c r="C30" s="34"/>
      <c r="D30" s="17"/>
      <c r="E30" s="17"/>
      <c r="F30" s="17"/>
      <c r="G30" s="17"/>
      <c r="H30" s="17"/>
      <c r="I30" s="17"/>
    </row>
    <row r="31" spans="1:9" x14ac:dyDescent="0.35">
      <c r="A31" s="17"/>
      <c r="B31" s="17"/>
      <c r="C31" s="34"/>
      <c r="D31" s="17"/>
      <c r="E31" s="17"/>
      <c r="F31" s="34"/>
      <c r="G31" s="17"/>
      <c r="H31" s="17"/>
      <c r="I31" s="17"/>
    </row>
    <row r="32" spans="1:9" x14ac:dyDescent="0.35">
      <c r="A32" s="17"/>
      <c r="B32" s="17"/>
      <c r="C32" s="34"/>
      <c r="D32" s="17"/>
      <c r="E32" s="17"/>
      <c r="F32" s="34"/>
      <c r="G32" s="17"/>
      <c r="H32" s="17"/>
      <c r="I32" s="17"/>
    </row>
    <row r="33" spans="1:9" x14ac:dyDescent="0.35">
      <c r="A33" s="17"/>
      <c r="B33" s="17"/>
      <c r="C33" s="34"/>
      <c r="D33" s="17"/>
      <c r="E33" s="17"/>
      <c r="F33" s="17"/>
      <c r="G33" s="17"/>
      <c r="H33" s="17"/>
      <c r="I33" s="17"/>
    </row>
    <row r="34" spans="1:9" x14ac:dyDescent="0.35">
      <c r="A34" s="17"/>
      <c r="B34" s="17"/>
      <c r="C34" s="34"/>
      <c r="D34" s="17"/>
      <c r="E34" s="34"/>
      <c r="F34" s="17"/>
      <c r="G34" s="17"/>
      <c r="H34" s="17"/>
      <c r="I34" s="17"/>
    </row>
    <row r="35" spans="1:9" x14ac:dyDescent="0.35">
      <c r="A35" s="17"/>
      <c r="B35" s="17"/>
      <c r="C35" s="34"/>
      <c r="D35" s="17"/>
      <c r="E35" s="34"/>
      <c r="F35" s="17"/>
      <c r="G35" s="17"/>
      <c r="H35" s="17"/>
      <c r="I35" s="17"/>
    </row>
    <row r="36" spans="1:9" x14ac:dyDescent="0.35">
      <c r="A36" s="17"/>
      <c r="B36" s="17"/>
      <c r="C36" s="34"/>
      <c r="D36" s="17"/>
      <c r="E36" s="17"/>
      <c r="F36" s="17"/>
      <c r="G36" s="17"/>
      <c r="H36" s="17"/>
      <c r="I36" s="17"/>
    </row>
    <row r="37" spans="1:9" x14ac:dyDescent="0.35">
      <c r="A37" s="17"/>
      <c r="B37" s="17"/>
      <c r="C37" s="34"/>
      <c r="D37" s="17"/>
      <c r="E37" s="17"/>
      <c r="F37" s="17"/>
      <c r="G37" s="17"/>
      <c r="H37" s="17"/>
      <c r="I37" s="17"/>
    </row>
    <row r="38" spans="1:9" x14ac:dyDescent="0.35">
      <c r="A38" s="17"/>
      <c r="B38" s="17"/>
      <c r="C38" s="34"/>
      <c r="D38" s="17"/>
      <c r="E38" s="34"/>
      <c r="F38" s="17"/>
      <c r="G38" s="17"/>
      <c r="H38" s="17"/>
      <c r="I38" s="17"/>
    </row>
    <row r="39" spans="1:9" x14ac:dyDescent="0.35">
      <c r="A39" s="17"/>
      <c r="B39" s="17"/>
      <c r="C39" s="34"/>
      <c r="D39" s="17"/>
      <c r="E39" s="34"/>
      <c r="F39" s="17"/>
      <c r="G39" s="17"/>
      <c r="H39" s="17"/>
      <c r="I39" s="17"/>
    </row>
    <row r="40" spans="1:9" x14ac:dyDescent="0.35">
      <c r="A40" s="17"/>
      <c r="B40" s="17"/>
      <c r="C40" s="34"/>
      <c r="D40" s="17"/>
      <c r="E40" s="17"/>
      <c r="F40" s="17"/>
      <c r="G40" s="17"/>
      <c r="H40" s="17"/>
      <c r="I40" s="17"/>
    </row>
    <row r="41" spans="1:9" x14ac:dyDescent="0.35">
      <c r="A41" s="17"/>
      <c r="B41" s="17"/>
      <c r="C41" s="34"/>
      <c r="D41" s="17"/>
      <c r="E41" s="34"/>
      <c r="F41" s="17"/>
      <c r="G41" s="17"/>
      <c r="H41" s="17"/>
      <c r="I41" s="17"/>
    </row>
    <row r="42" spans="1:9" x14ac:dyDescent="0.35">
      <c r="A42" s="17"/>
      <c r="B42" s="17"/>
      <c r="C42" s="34"/>
      <c r="D42" s="17"/>
      <c r="E42" s="34"/>
      <c r="F42" s="17"/>
      <c r="G42" s="17"/>
      <c r="H42" s="17"/>
      <c r="I42" s="17"/>
    </row>
    <row r="43" spans="1:9" x14ac:dyDescent="0.35">
      <c r="A43" s="17"/>
      <c r="B43" s="17"/>
      <c r="C43" s="34"/>
      <c r="D43" s="17"/>
      <c r="E43" s="34"/>
      <c r="F43" s="17"/>
      <c r="G43" s="17"/>
      <c r="H43" s="17"/>
      <c r="I43" s="17"/>
    </row>
    <row r="44" spans="1:9" x14ac:dyDescent="0.35">
      <c r="A44" s="17"/>
      <c r="B44" s="17"/>
      <c r="C44" s="34"/>
      <c r="D44" s="17"/>
      <c r="E44" s="17"/>
      <c r="F44" s="17"/>
      <c r="G44" s="17"/>
      <c r="H44" s="17"/>
      <c r="I44" s="17"/>
    </row>
    <row r="45" spans="1:9" x14ac:dyDescent="0.35">
      <c r="A45" s="17"/>
      <c r="B45" s="17"/>
      <c r="C45" s="34"/>
      <c r="D45" s="17"/>
      <c r="E45" s="34"/>
      <c r="F45" s="17"/>
      <c r="G45" s="17"/>
      <c r="H45" s="17"/>
      <c r="I45" s="17"/>
    </row>
    <row r="46" spans="1:9" x14ac:dyDescent="0.35">
      <c r="A46" s="17"/>
      <c r="B46" s="17"/>
      <c r="C46" s="34"/>
      <c r="D46" s="17"/>
      <c r="E46" s="34"/>
      <c r="F46" s="17"/>
      <c r="G46" s="17"/>
      <c r="H46" s="17"/>
      <c r="I46" s="17"/>
    </row>
    <row r="47" spans="1:9" x14ac:dyDescent="0.35">
      <c r="A47" s="17"/>
      <c r="B47" s="17"/>
      <c r="C47" s="34"/>
      <c r="D47" s="17"/>
      <c r="E47" s="17"/>
      <c r="F47" s="17"/>
      <c r="G47" s="17"/>
      <c r="H47" s="17"/>
      <c r="I47" s="17"/>
    </row>
    <row r="48" spans="1:9" x14ac:dyDescent="0.35">
      <c r="A48" s="17"/>
      <c r="B48" s="17"/>
      <c r="C48" s="34"/>
      <c r="D48" s="17"/>
      <c r="E48" s="17"/>
      <c r="F48" s="17"/>
      <c r="G48" s="17"/>
      <c r="H48" s="17"/>
      <c r="I48" s="17"/>
    </row>
    <row r="49" spans="1:9" x14ac:dyDescent="0.35">
      <c r="A49" s="17"/>
      <c r="B49" s="17"/>
      <c r="C49" s="34"/>
      <c r="D49" s="17"/>
      <c r="E49" s="17"/>
      <c r="F49" s="17"/>
      <c r="G49" s="17"/>
      <c r="H49" s="17"/>
      <c r="I49" s="17"/>
    </row>
    <row r="50" spans="1:9" x14ac:dyDescent="0.35">
      <c r="A50" s="17"/>
      <c r="B50" s="17"/>
      <c r="C50" s="34"/>
      <c r="D50" s="17"/>
      <c r="E50" s="17"/>
      <c r="F50" s="17"/>
      <c r="G50" s="17"/>
      <c r="H50" s="17"/>
      <c r="I50" s="17"/>
    </row>
    <row r="51" spans="1:9" x14ac:dyDescent="0.35">
      <c r="A51" s="17"/>
      <c r="B51" s="17"/>
      <c r="C51" s="34"/>
      <c r="D51" s="17"/>
      <c r="E51" s="34"/>
      <c r="F51" s="17"/>
      <c r="G51" s="17"/>
      <c r="H51" s="17"/>
      <c r="I51" s="17"/>
    </row>
    <row r="52" spans="1:9" x14ac:dyDescent="0.35">
      <c r="A52" s="17"/>
      <c r="B52" s="17"/>
      <c r="C52" s="34"/>
      <c r="D52" s="17"/>
      <c r="E52" s="17"/>
      <c r="F52" s="17"/>
      <c r="G52" s="17"/>
      <c r="H52" s="17"/>
      <c r="I52" s="17"/>
    </row>
    <row r="53" spans="1:9" x14ac:dyDescent="0.35">
      <c r="A53" s="17"/>
      <c r="B53" s="17"/>
      <c r="C53" s="34"/>
      <c r="D53" s="17"/>
      <c r="E53" s="34"/>
      <c r="F53" s="17"/>
      <c r="G53" s="17"/>
      <c r="H53" s="17"/>
      <c r="I53" s="17"/>
    </row>
    <row r="54" spans="1:9" x14ac:dyDescent="0.35">
      <c r="A54" s="17"/>
      <c r="B54" s="17"/>
      <c r="C54" s="34"/>
      <c r="D54" s="17"/>
      <c r="E54" s="17"/>
      <c r="F54" s="17"/>
      <c r="G54" s="17"/>
      <c r="H54" s="17"/>
      <c r="I54" s="17"/>
    </row>
    <row r="55" spans="1:9" x14ac:dyDescent="0.35">
      <c r="A55" s="17"/>
      <c r="B55" s="17"/>
      <c r="C55" s="17"/>
      <c r="D55" s="17"/>
      <c r="E55" s="17"/>
      <c r="F55" s="17"/>
      <c r="G55" s="17"/>
      <c r="H55" s="17"/>
      <c r="I55" s="17"/>
    </row>
    <row r="56" spans="1:9" x14ac:dyDescent="0.35">
      <c r="A56" s="17"/>
      <c r="B56" s="17"/>
      <c r="C56" s="17"/>
      <c r="D56" s="17"/>
      <c r="E56" s="17"/>
      <c r="F56" s="17"/>
      <c r="G56" s="17"/>
      <c r="H56" s="17"/>
      <c r="I56" s="17"/>
    </row>
    <row r="57" spans="1:9" x14ac:dyDescent="0.35">
      <c r="A57" s="17"/>
      <c r="B57" s="17"/>
      <c r="C57" s="17"/>
      <c r="D57" s="17"/>
      <c r="E57" s="17"/>
      <c r="F57" s="17"/>
      <c r="G57" s="17"/>
      <c r="H57" s="17"/>
      <c r="I57" s="17"/>
    </row>
    <row r="58" spans="1:9" x14ac:dyDescent="0.35">
      <c r="A58" s="17"/>
      <c r="B58" s="17"/>
      <c r="C58" s="17"/>
      <c r="D58" s="17"/>
      <c r="E58" s="17"/>
      <c r="F58" s="17"/>
      <c r="G58" s="17"/>
      <c r="H58" s="17"/>
      <c r="I58" s="17"/>
    </row>
    <row r="59" spans="1:9" x14ac:dyDescent="0.35">
      <c r="A59" s="17"/>
      <c r="B59" s="17"/>
      <c r="C59" s="17"/>
      <c r="D59" s="17"/>
      <c r="E59" s="17"/>
      <c r="F59" s="17"/>
      <c r="G59" s="17"/>
      <c r="H59" s="17"/>
      <c r="I59" s="17"/>
    </row>
  </sheetData>
  <mergeCells count="8">
    <mergeCell ref="A1:A3"/>
    <mergeCell ref="D1:E1"/>
    <mergeCell ref="F1:F3"/>
    <mergeCell ref="D2:E2"/>
    <mergeCell ref="D3:E3"/>
    <mergeCell ref="B1:C1"/>
    <mergeCell ref="B2:C2"/>
    <mergeCell ref="B3:C3"/>
  </mergeCells>
  <conditionalFormatting sqref="G1">
    <cfRule type="containsText" dxfId="71" priority="6" operator="containsText" text="Passed">
      <formula>NOT(ISERROR(SEARCH(("Passed"),(G1))))</formula>
    </cfRule>
    <cfRule type="containsText" dxfId="70" priority="7" operator="containsText" text="Failed">
      <formula>NOT(ISERROR(SEARCH(("Failed"),(G1))))</formula>
    </cfRule>
    <cfRule type="containsText" dxfId="69" priority="8" operator="containsText" text="Incomplete">
      <formula>NOT(ISERROR(SEARCH(("Incomplete"),(G1))))</formula>
    </cfRule>
  </conditionalFormatting>
  <conditionalFormatting sqref="I6:I25">
    <cfRule type="containsText" dxfId="68" priority="1" operator="containsText" text="Passed">
      <formula>NOT(ISERROR(SEARCH(("Passed"),(I6))))</formula>
    </cfRule>
    <cfRule type="containsText" dxfId="67" priority="2" operator="containsText" text="Failed">
      <formula>NOT(ISERROR(SEARCH(("Failed"),(I6))))</formula>
    </cfRule>
    <cfRule type="containsText" dxfId="66" priority="3" operator="containsText" text="Bug ok">
      <formula>NOT(ISERROR(SEARCH(("Bug ok"),(I6))))</formula>
    </cfRule>
    <cfRule type="containsText" dxfId="65" priority="4" operator="containsText" text="Blocked">
      <formula>NOT(ISERROR(SEARCH(("Blocked"),(I6))))</formula>
    </cfRule>
    <cfRule type="containsText" dxfId="64" priority="5" operator="containsText" text="Cannot run">
      <formula>NOT(ISERROR(SEARCH(("Cannot run"),(J6))))</formula>
    </cfRule>
  </conditionalFormatting>
  <dataValidations count="1">
    <dataValidation type="list" allowBlank="1" showErrorMessage="1" sqref="I6:I25" xr:uid="{4BFF133E-C52C-4DE0-9AE7-ADDFCE92FFB8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2733-AE03-4C4C-B63F-F1DF469C9469}">
  <dimension ref="A1:I47"/>
  <sheetViews>
    <sheetView workbookViewId="0">
      <selection activeCell="G3" sqref="G3"/>
    </sheetView>
  </sheetViews>
  <sheetFormatPr defaultRowHeight="14.5" x14ac:dyDescent="0.35"/>
  <cols>
    <col min="1" max="1" width="38.26953125" customWidth="1"/>
    <col min="2" max="7" width="27.7265625" customWidth="1"/>
    <col min="8" max="8" width="33.26953125" customWidth="1"/>
    <col min="9" max="9" width="27.7265625" customWidth="1"/>
  </cols>
  <sheetData>
    <row r="1" spans="1:9" ht="15.5" x14ac:dyDescent="0.35">
      <c r="A1" s="76"/>
      <c r="B1" s="37" t="s">
        <v>2</v>
      </c>
      <c r="C1" s="103" t="s">
        <v>2727</v>
      </c>
      <c r="D1" s="101"/>
      <c r="E1" s="87"/>
      <c r="F1" s="18" t="s">
        <v>52</v>
      </c>
      <c r="G1" s="10" t="s">
        <v>4</v>
      </c>
      <c r="H1" s="20" t="s">
        <v>5</v>
      </c>
      <c r="I1" s="21" t="s">
        <v>6</v>
      </c>
    </row>
    <row r="2" spans="1:9" ht="18" x14ac:dyDescent="0.35">
      <c r="A2" s="76"/>
      <c r="B2" s="38" t="s">
        <v>53</v>
      </c>
      <c r="C2" s="104" t="s">
        <v>54</v>
      </c>
      <c r="D2" s="80"/>
      <c r="E2" s="82"/>
      <c r="F2" s="22">
        <f>COUNTIF(A1:A193,"TC-??")</f>
        <v>23</v>
      </c>
      <c r="G2" s="14">
        <f>COUNTIF(I4:I844,"Đạt")</f>
        <v>23</v>
      </c>
      <c r="H2" s="6">
        <f>COUNTIF(F4:F855,"Không Đạt")</f>
        <v>0</v>
      </c>
      <c r="I2" s="6">
        <f>COUNTIF(F4:F855,"Chưa Xong")</f>
        <v>0</v>
      </c>
    </row>
    <row r="3" spans="1:9" ht="18" x14ac:dyDescent="0.35">
      <c r="A3" s="76"/>
      <c r="B3" s="35" t="s">
        <v>55</v>
      </c>
      <c r="C3" s="105">
        <v>46003</v>
      </c>
      <c r="D3" s="80"/>
      <c r="E3" s="83"/>
      <c r="F3" s="23">
        <f>SUM(G3+H3+I3)</f>
        <v>1</v>
      </c>
      <c r="G3" s="16">
        <f>G2/F2</f>
        <v>1</v>
      </c>
      <c r="H3" s="24">
        <f>H2/F2</f>
        <v>0</v>
      </c>
      <c r="I3" s="23">
        <f>I2/F2</f>
        <v>0</v>
      </c>
    </row>
    <row r="5" spans="1:9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9" ht="43.5" x14ac:dyDescent="0.35">
      <c r="A6" s="17" t="s">
        <v>65</v>
      </c>
      <c r="B6" s="17" t="s">
        <v>2728</v>
      </c>
      <c r="C6" s="17" t="s">
        <v>2729</v>
      </c>
      <c r="D6" s="17" t="s">
        <v>2730</v>
      </c>
      <c r="E6" s="17" t="s">
        <v>2731</v>
      </c>
      <c r="F6" s="17" t="s">
        <v>2732</v>
      </c>
      <c r="G6" s="17" t="s">
        <v>2733</v>
      </c>
      <c r="H6" s="17" t="s">
        <v>2734</v>
      </c>
      <c r="I6" s="51" t="s">
        <v>4</v>
      </c>
    </row>
    <row r="7" spans="1:9" ht="29" x14ac:dyDescent="0.35">
      <c r="A7" s="17" t="s">
        <v>72</v>
      </c>
      <c r="B7" s="17" t="s">
        <v>2735</v>
      </c>
      <c r="C7" s="17" t="s">
        <v>2729</v>
      </c>
      <c r="D7" s="17" t="s">
        <v>2736</v>
      </c>
      <c r="E7" s="17" t="s">
        <v>1953</v>
      </c>
      <c r="F7" s="17" t="s">
        <v>2639</v>
      </c>
      <c r="G7" s="17" t="s">
        <v>2640</v>
      </c>
      <c r="H7" s="17" t="s">
        <v>2641</v>
      </c>
      <c r="I7" s="51" t="s">
        <v>4</v>
      </c>
    </row>
    <row r="8" spans="1:9" ht="29" x14ac:dyDescent="0.35">
      <c r="A8" s="17" t="s">
        <v>77</v>
      </c>
      <c r="B8" s="17" t="s">
        <v>2737</v>
      </c>
      <c r="C8" s="17" t="s">
        <v>2729</v>
      </c>
      <c r="D8" s="17" t="s">
        <v>1880</v>
      </c>
      <c r="E8" s="17" t="s">
        <v>2643</v>
      </c>
      <c r="F8" s="17" t="s">
        <v>2138</v>
      </c>
      <c r="G8" s="17" t="s">
        <v>2645</v>
      </c>
      <c r="H8" s="17" t="s">
        <v>2738</v>
      </c>
      <c r="I8" s="51" t="s">
        <v>4</v>
      </c>
    </row>
    <row r="9" spans="1:9" ht="29" x14ac:dyDescent="0.35">
      <c r="A9" s="17" t="s">
        <v>83</v>
      </c>
      <c r="B9" s="17" t="s">
        <v>2739</v>
      </c>
      <c r="C9" s="17" t="s">
        <v>2729</v>
      </c>
      <c r="D9" s="17" t="s">
        <v>2648</v>
      </c>
      <c r="E9" s="17" t="s">
        <v>2649</v>
      </c>
      <c r="F9" s="17" t="s">
        <v>2740</v>
      </c>
      <c r="G9" s="17" t="s">
        <v>2741</v>
      </c>
      <c r="H9" s="17" t="s">
        <v>2742</v>
      </c>
      <c r="I9" s="51" t="s">
        <v>4</v>
      </c>
    </row>
    <row r="10" spans="1:9" ht="29" x14ac:dyDescent="0.35">
      <c r="A10" s="17" t="s">
        <v>88</v>
      </c>
      <c r="B10" s="17" t="s">
        <v>2743</v>
      </c>
      <c r="C10" s="17" t="s">
        <v>2729</v>
      </c>
      <c r="D10" s="17" t="s">
        <v>2744</v>
      </c>
      <c r="E10" s="17" t="s">
        <v>1389</v>
      </c>
      <c r="F10" s="17" t="s">
        <v>2675</v>
      </c>
      <c r="G10" s="17" t="s">
        <v>2745</v>
      </c>
      <c r="H10" s="17" t="s">
        <v>2746</v>
      </c>
      <c r="I10" s="51" t="s">
        <v>4</v>
      </c>
    </row>
    <row r="11" spans="1:9" ht="29" x14ac:dyDescent="0.35">
      <c r="A11" s="17" t="s">
        <v>233</v>
      </c>
      <c r="B11" s="17" t="s">
        <v>2747</v>
      </c>
      <c r="C11" s="17" t="s">
        <v>2729</v>
      </c>
      <c r="D11" s="17" t="s">
        <v>2673</v>
      </c>
      <c r="E11" s="17" t="s">
        <v>2674</v>
      </c>
      <c r="F11" s="17" t="s">
        <v>2748</v>
      </c>
      <c r="G11" s="17" t="s">
        <v>2749</v>
      </c>
      <c r="H11" s="17" t="s">
        <v>2750</v>
      </c>
      <c r="I11" s="51" t="s">
        <v>4</v>
      </c>
    </row>
    <row r="12" spans="1:9" ht="29" x14ac:dyDescent="0.35">
      <c r="A12" s="17" t="s">
        <v>93</v>
      </c>
      <c r="B12" s="17" t="s">
        <v>2657</v>
      </c>
      <c r="C12" s="17" t="s">
        <v>2729</v>
      </c>
      <c r="D12" s="17" t="s">
        <v>1430</v>
      </c>
      <c r="E12" s="17" t="s">
        <v>2751</v>
      </c>
      <c r="F12" s="17" t="s">
        <v>2219</v>
      </c>
      <c r="G12" s="17" t="s">
        <v>2752</v>
      </c>
      <c r="H12" s="17" t="s">
        <v>2753</v>
      </c>
      <c r="I12" s="51" t="s">
        <v>4</v>
      </c>
    </row>
    <row r="13" spans="1:9" ht="29" x14ac:dyDescent="0.35">
      <c r="A13" s="17" t="s">
        <v>98</v>
      </c>
      <c r="B13" s="17" t="s">
        <v>2754</v>
      </c>
      <c r="C13" s="17" t="s">
        <v>2729</v>
      </c>
      <c r="D13" s="17" t="s">
        <v>2755</v>
      </c>
      <c r="E13" s="17" t="s">
        <v>2756</v>
      </c>
      <c r="F13" s="17" t="s">
        <v>2757</v>
      </c>
      <c r="G13" s="17" t="s">
        <v>2758</v>
      </c>
      <c r="H13" s="17" t="s">
        <v>2759</v>
      </c>
      <c r="I13" s="51" t="s">
        <v>4</v>
      </c>
    </row>
    <row r="14" spans="1:9" ht="29" x14ac:dyDescent="0.35">
      <c r="A14" s="17" t="s">
        <v>105</v>
      </c>
      <c r="B14" s="17" t="s">
        <v>2760</v>
      </c>
      <c r="C14" s="17" t="s">
        <v>2729</v>
      </c>
      <c r="D14" s="17" t="s">
        <v>2761</v>
      </c>
      <c r="E14" s="17" t="s">
        <v>2762</v>
      </c>
      <c r="F14" s="17" t="s">
        <v>468</v>
      </c>
      <c r="G14" s="17" t="s">
        <v>2763</v>
      </c>
      <c r="H14" s="17" t="s">
        <v>2708</v>
      </c>
      <c r="I14" s="51" t="s">
        <v>4</v>
      </c>
    </row>
    <row r="15" spans="1:9" ht="29" x14ac:dyDescent="0.35">
      <c r="A15" s="17" t="s">
        <v>113</v>
      </c>
      <c r="B15" s="17" t="s">
        <v>2764</v>
      </c>
      <c r="C15" s="17" t="s">
        <v>2729</v>
      </c>
      <c r="D15" s="17" t="s">
        <v>2761</v>
      </c>
      <c r="E15" s="17" t="s">
        <v>2762</v>
      </c>
      <c r="F15" s="17" t="s">
        <v>468</v>
      </c>
      <c r="G15" s="17" t="s">
        <v>2765</v>
      </c>
      <c r="H15" s="17" t="s">
        <v>2766</v>
      </c>
      <c r="I15" s="51" t="s">
        <v>4</v>
      </c>
    </row>
    <row r="16" spans="1:9" ht="29" x14ac:dyDescent="0.35">
      <c r="A16" s="17" t="s">
        <v>119</v>
      </c>
      <c r="B16" s="17" t="s">
        <v>2767</v>
      </c>
      <c r="C16" s="17" t="s">
        <v>2729</v>
      </c>
      <c r="D16" s="17" t="s">
        <v>2768</v>
      </c>
      <c r="E16" s="17" t="s">
        <v>2769</v>
      </c>
      <c r="F16" s="17" t="s">
        <v>2770</v>
      </c>
      <c r="G16" s="17" t="s">
        <v>2771</v>
      </c>
      <c r="H16" s="17" t="s">
        <v>2772</v>
      </c>
      <c r="I16" s="51" t="s">
        <v>4</v>
      </c>
    </row>
    <row r="17" spans="1:9" ht="29" x14ac:dyDescent="0.35">
      <c r="A17" s="17" t="s">
        <v>125</v>
      </c>
      <c r="B17" s="17" t="s">
        <v>2773</v>
      </c>
      <c r="C17" s="17" t="s">
        <v>2729</v>
      </c>
      <c r="D17" s="17" t="s">
        <v>2774</v>
      </c>
      <c r="E17" s="17" t="s">
        <v>2775</v>
      </c>
      <c r="F17" s="17" t="s">
        <v>2776</v>
      </c>
      <c r="G17" s="17" t="s">
        <v>2196</v>
      </c>
      <c r="H17" s="17" t="s">
        <v>2777</v>
      </c>
      <c r="I17" s="51" t="s">
        <v>4</v>
      </c>
    </row>
    <row r="18" spans="1:9" ht="29" x14ac:dyDescent="0.35">
      <c r="A18" s="17" t="s">
        <v>132</v>
      </c>
      <c r="B18" s="17" t="s">
        <v>2778</v>
      </c>
      <c r="C18" s="17" t="s">
        <v>2729</v>
      </c>
      <c r="D18" s="17" t="s">
        <v>2779</v>
      </c>
      <c r="E18" s="17" t="s">
        <v>2780</v>
      </c>
      <c r="F18" s="17" t="s">
        <v>2716</v>
      </c>
      <c r="G18" s="17" t="s">
        <v>2781</v>
      </c>
      <c r="H18" s="17" t="s">
        <v>2782</v>
      </c>
      <c r="I18" s="51" t="s">
        <v>4</v>
      </c>
    </row>
    <row r="19" spans="1:9" ht="29" x14ac:dyDescent="0.35">
      <c r="A19" s="17" t="s">
        <v>138</v>
      </c>
      <c r="B19" s="17" t="s">
        <v>2783</v>
      </c>
      <c r="C19" s="17" t="s">
        <v>2729</v>
      </c>
      <c r="D19" s="17" t="s">
        <v>1441</v>
      </c>
      <c r="E19" s="17" t="s">
        <v>2784</v>
      </c>
      <c r="F19" s="17" t="s">
        <v>2785</v>
      </c>
      <c r="G19" s="17" t="s">
        <v>2786</v>
      </c>
      <c r="H19" s="17" t="s">
        <v>2787</v>
      </c>
      <c r="I19" s="51" t="s">
        <v>4</v>
      </c>
    </row>
    <row r="20" spans="1:9" ht="29" x14ac:dyDescent="0.35">
      <c r="A20" s="17" t="s">
        <v>144</v>
      </c>
      <c r="B20" s="17" t="s">
        <v>2788</v>
      </c>
      <c r="C20" s="17" t="s">
        <v>2729</v>
      </c>
      <c r="D20" s="17" t="s">
        <v>2768</v>
      </c>
      <c r="E20" s="17" t="s">
        <v>1442</v>
      </c>
      <c r="F20" s="17" t="s">
        <v>2789</v>
      </c>
      <c r="G20" s="17" t="s">
        <v>2790</v>
      </c>
      <c r="H20" s="17" t="s">
        <v>2766</v>
      </c>
      <c r="I20" s="51" t="s">
        <v>4</v>
      </c>
    </row>
    <row r="21" spans="1:9" ht="29" x14ac:dyDescent="0.35">
      <c r="A21" s="17" t="s">
        <v>150</v>
      </c>
      <c r="B21" s="17" t="s">
        <v>2791</v>
      </c>
      <c r="C21" s="17" t="s">
        <v>2729</v>
      </c>
      <c r="D21" s="17" t="s">
        <v>2792</v>
      </c>
      <c r="E21" s="17" t="s">
        <v>1859</v>
      </c>
      <c r="F21" s="17" t="s">
        <v>2697</v>
      </c>
      <c r="G21" s="17" t="s">
        <v>2793</v>
      </c>
      <c r="H21" s="17" t="s">
        <v>2794</v>
      </c>
      <c r="I21" s="51" t="s">
        <v>4</v>
      </c>
    </row>
    <row r="22" spans="1:9" ht="29" x14ac:dyDescent="0.35">
      <c r="A22" s="17" t="s">
        <v>157</v>
      </c>
      <c r="B22" s="17" t="s">
        <v>2700</v>
      </c>
      <c r="C22" s="17" t="s">
        <v>2729</v>
      </c>
      <c r="D22" s="17" t="s">
        <v>2142</v>
      </c>
      <c r="E22" s="17" t="s">
        <v>2701</v>
      </c>
      <c r="F22" s="17" t="s">
        <v>2795</v>
      </c>
      <c r="G22" s="17" t="s">
        <v>2703</v>
      </c>
      <c r="H22" s="17" t="s">
        <v>2704</v>
      </c>
      <c r="I22" s="51" t="s">
        <v>4</v>
      </c>
    </row>
    <row r="23" spans="1:9" ht="29" x14ac:dyDescent="0.35">
      <c r="A23" s="17" t="s">
        <v>163</v>
      </c>
      <c r="B23" s="17" t="s">
        <v>2705</v>
      </c>
      <c r="C23" s="17" t="s">
        <v>2729</v>
      </c>
      <c r="D23" s="17" t="s">
        <v>2796</v>
      </c>
      <c r="E23" s="17" t="s">
        <v>2797</v>
      </c>
      <c r="F23" s="17" t="s">
        <v>468</v>
      </c>
      <c r="G23" s="17" t="s">
        <v>2798</v>
      </c>
      <c r="H23" s="17" t="s">
        <v>2799</v>
      </c>
      <c r="I23" s="51" t="s">
        <v>4</v>
      </c>
    </row>
    <row r="24" spans="1:9" ht="29" x14ac:dyDescent="0.35">
      <c r="A24" s="17" t="s">
        <v>299</v>
      </c>
      <c r="B24" s="17" t="s">
        <v>2800</v>
      </c>
      <c r="C24" s="17" t="s">
        <v>2729</v>
      </c>
      <c r="D24" s="17" t="s">
        <v>2801</v>
      </c>
      <c r="E24" s="17" t="s">
        <v>1331</v>
      </c>
      <c r="F24" s="17" t="s">
        <v>2802</v>
      </c>
      <c r="G24" s="17" t="s">
        <v>2803</v>
      </c>
      <c r="H24" s="17" t="s">
        <v>2689</v>
      </c>
      <c r="I24" s="51" t="s">
        <v>4</v>
      </c>
    </row>
    <row r="25" spans="1:9" ht="29" x14ac:dyDescent="0.35">
      <c r="A25" s="17" t="s">
        <v>306</v>
      </c>
      <c r="B25" s="17" t="s">
        <v>2804</v>
      </c>
      <c r="C25" s="17" t="s">
        <v>2729</v>
      </c>
      <c r="D25" s="17" t="s">
        <v>2805</v>
      </c>
      <c r="E25" s="17" t="s">
        <v>2806</v>
      </c>
      <c r="F25" s="17" t="s">
        <v>2219</v>
      </c>
      <c r="G25" s="17" t="s">
        <v>2807</v>
      </c>
      <c r="H25" s="17" t="s">
        <v>2808</v>
      </c>
      <c r="I25" s="51" t="s">
        <v>4</v>
      </c>
    </row>
    <row r="26" spans="1:9" ht="29" x14ac:dyDescent="0.35">
      <c r="A26" s="17" t="s">
        <v>312</v>
      </c>
      <c r="B26" s="17" t="s">
        <v>2809</v>
      </c>
      <c r="C26" s="17" t="s">
        <v>2729</v>
      </c>
      <c r="D26" s="17" t="s">
        <v>2810</v>
      </c>
      <c r="E26" s="17" t="s">
        <v>2811</v>
      </c>
      <c r="F26" s="17" t="s">
        <v>2716</v>
      </c>
      <c r="G26" s="17" t="s">
        <v>2717</v>
      </c>
      <c r="H26" s="17" t="s">
        <v>2812</v>
      </c>
      <c r="I26" s="51" t="s">
        <v>4</v>
      </c>
    </row>
    <row r="27" spans="1:9" ht="29" x14ac:dyDescent="0.35">
      <c r="A27" s="17" t="s">
        <v>465</v>
      </c>
      <c r="B27" s="17" t="s">
        <v>2813</v>
      </c>
      <c r="C27" s="17" t="s">
        <v>2729</v>
      </c>
      <c r="D27" s="17" t="s">
        <v>1579</v>
      </c>
      <c r="E27" s="17" t="s">
        <v>2814</v>
      </c>
      <c r="F27" s="17" t="s">
        <v>2815</v>
      </c>
      <c r="G27" s="17" t="s">
        <v>2720</v>
      </c>
      <c r="H27" s="17" t="s">
        <v>2721</v>
      </c>
      <c r="I27" s="51" t="s">
        <v>4</v>
      </c>
    </row>
    <row r="28" spans="1:9" ht="29" x14ac:dyDescent="0.35">
      <c r="A28" s="17" t="s">
        <v>471</v>
      </c>
      <c r="B28" s="17" t="s">
        <v>2816</v>
      </c>
      <c r="C28" s="17" t="s">
        <v>2729</v>
      </c>
      <c r="D28" s="17" t="s">
        <v>2817</v>
      </c>
      <c r="E28" s="17" t="s">
        <v>2818</v>
      </c>
      <c r="F28" s="17" t="s">
        <v>2616</v>
      </c>
      <c r="G28" s="17" t="s">
        <v>2725</v>
      </c>
      <c r="H28" s="17" t="s">
        <v>2819</v>
      </c>
      <c r="I28" s="51" t="s">
        <v>4</v>
      </c>
    </row>
    <row r="29" spans="1:9" x14ac:dyDescent="0.35">
      <c r="A29" s="17"/>
      <c r="B29" s="17"/>
      <c r="C29" s="17"/>
      <c r="D29" s="17"/>
      <c r="E29" s="17"/>
      <c r="F29" s="17"/>
      <c r="G29" s="17"/>
      <c r="H29" s="17"/>
    </row>
    <row r="30" spans="1:9" x14ac:dyDescent="0.35">
      <c r="A30" s="17"/>
      <c r="B30" s="17"/>
      <c r="C30" s="17"/>
      <c r="D30" s="17"/>
      <c r="E30" s="17"/>
      <c r="F30" s="17"/>
      <c r="G30" s="17"/>
      <c r="H30" s="17"/>
    </row>
    <row r="31" spans="1:9" x14ac:dyDescent="0.35">
      <c r="A31" s="17"/>
      <c r="B31" s="17"/>
      <c r="C31" s="17"/>
      <c r="D31" s="17"/>
      <c r="E31" s="17"/>
      <c r="F31" s="17"/>
      <c r="G31" s="17"/>
      <c r="H31" s="17"/>
    </row>
    <row r="32" spans="1:9" x14ac:dyDescent="0.35">
      <c r="A32" s="17"/>
      <c r="B32" s="17"/>
      <c r="C32" s="17"/>
      <c r="D32" s="34"/>
      <c r="E32" s="17"/>
      <c r="F32" s="17"/>
      <c r="G32" s="17"/>
      <c r="H32" s="17"/>
    </row>
    <row r="33" spans="1:8" x14ac:dyDescent="0.35">
      <c r="A33" s="17"/>
      <c r="B33" s="17"/>
      <c r="C33" s="17"/>
      <c r="D33" s="17"/>
      <c r="E33" s="17"/>
      <c r="F33" s="17"/>
      <c r="G33" s="17"/>
      <c r="H33" s="17"/>
    </row>
    <row r="34" spans="1:8" x14ac:dyDescent="0.35">
      <c r="A34" s="17"/>
      <c r="B34" s="17"/>
      <c r="C34" s="17"/>
      <c r="D34" s="17"/>
      <c r="E34" s="17"/>
      <c r="F34" s="17"/>
      <c r="G34" s="17"/>
      <c r="H34" s="17"/>
    </row>
    <row r="35" spans="1:8" x14ac:dyDescent="0.35">
      <c r="A35" s="17"/>
      <c r="B35" s="17"/>
      <c r="C35" s="17"/>
      <c r="D35" s="17"/>
      <c r="E35" s="17"/>
      <c r="F35" s="17"/>
      <c r="G35" s="17"/>
      <c r="H35" s="17"/>
    </row>
    <row r="36" spans="1:8" x14ac:dyDescent="0.35">
      <c r="A36" s="17"/>
      <c r="B36" s="17"/>
      <c r="C36" s="17"/>
      <c r="D36" s="17"/>
      <c r="E36" s="17"/>
      <c r="F36" s="17"/>
      <c r="G36" s="17"/>
      <c r="H36" s="17"/>
    </row>
    <row r="37" spans="1:8" x14ac:dyDescent="0.35">
      <c r="A37" s="17"/>
      <c r="B37" s="17"/>
      <c r="C37" s="17"/>
      <c r="D37" s="17"/>
      <c r="E37" s="17"/>
      <c r="F37" s="17"/>
      <c r="G37" s="17"/>
      <c r="H37" s="17"/>
    </row>
    <row r="38" spans="1:8" x14ac:dyDescent="0.35">
      <c r="A38" s="17"/>
      <c r="B38" s="17"/>
      <c r="C38" s="17"/>
      <c r="D38" s="17"/>
      <c r="E38" s="17"/>
      <c r="F38" s="17"/>
      <c r="G38" s="17"/>
      <c r="H38" s="17"/>
    </row>
    <row r="39" spans="1:8" x14ac:dyDescent="0.35">
      <c r="A39" s="17"/>
      <c r="B39" s="17"/>
      <c r="C39" s="17"/>
      <c r="D39" s="17"/>
      <c r="E39" s="17"/>
      <c r="F39" s="17"/>
      <c r="G39" s="17"/>
      <c r="H39" s="17"/>
    </row>
    <row r="40" spans="1:8" x14ac:dyDescent="0.35">
      <c r="A40" s="17"/>
      <c r="B40" s="17"/>
      <c r="C40" s="17"/>
      <c r="D40" s="17"/>
      <c r="E40" s="17"/>
      <c r="F40" s="17"/>
      <c r="G40" s="17"/>
      <c r="H40" s="17"/>
    </row>
    <row r="41" spans="1:8" x14ac:dyDescent="0.35">
      <c r="A41" s="17"/>
      <c r="B41" s="17"/>
      <c r="C41" s="17"/>
      <c r="D41" s="17"/>
      <c r="E41" s="17"/>
      <c r="F41" s="17"/>
      <c r="G41" s="17"/>
      <c r="H41" s="17"/>
    </row>
    <row r="42" spans="1:8" x14ac:dyDescent="0.35">
      <c r="A42" s="17"/>
      <c r="B42" s="17"/>
      <c r="C42" s="17"/>
      <c r="D42" s="17"/>
      <c r="E42" s="17"/>
      <c r="F42" s="17"/>
      <c r="G42" s="17"/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x14ac:dyDescent="0.35">
      <c r="A44" s="17"/>
      <c r="B44" s="17"/>
      <c r="C44" s="17"/>
      <c r="D44" s="17"/>
      <c r="E44" s="17"/>
      <c r="F44" s="17"/>
      <c r="G44" s="17"/>
      <c r="H44" s="17"/>
    </row>
    <row r="45" spans="1:8" x14ac:dyDescent="0.35">
      <c r="A45" s="17"/>
      <c r="B45" s="17"/>
      <c r="C45" s="17"/>
      <c r="D45" s="17"/>
      <c r="E45" s="17"/>
      <c r="F45" s="17"/>
      <c r="G45" s="17"/>
      <c r="H45" s="17"/>
    </row>
    <row r="46" spans="1:8" x14ac:dyDescent="0.35">
      <c r="A46" s="17"/>
      <c r="B46" s="17"/>
      <c r="C46" s="17"/>
      <c r="D46" s="17"/>
      <c r="E46" s="17"/>
      <c r="F46" s="17"/>
      <c r="G46" s="17"/>
      <c r="H46" s="17"/>
    </row>
    <row r="47" spans="1:8" x14ac:dyDescent="0.35">
      <c r="A47" s="17"/>
      <c r="B47" s="17"/>
      <c r="C47" s="17"/>
      <c r="D47" s="17"/>
      <c r="E47" s="17"/>
      <c r="F47" s="17"/>
      <c r="G47" s="17"/>
      <c r="H47" s="17"/>
    </row>
  </sheetData>
  <mergeCells count="5">
    <mergeCell ref="A1:A3"/>
    <mergeCell ref="C1:D1"/>
    <mergeCell ref="E1:E3"/>
    <mergeCell ref="C2:D2"/>
    <mergeCell ref="C3:D3"/>
  </mergeCells>
  <conditionalFormatting sqref="F1">
    <cfRule type="containsText" dxfId="63" priority="6" operator="containsText" text="Passed">
      <formula>NOT(ISERROR(SEARCH(("Passed"),(F1))))</formula>
    </cfRule>
    <cfRule type="containsText" dxfId="62" priority="7" operator="containsText" text="Failed">
      <formula>NOT(ISERROR(SEARCH(("Failed"),(F1))))</formula>
    </cfRule>
    <cfRule type="containsText" dxfId="61" priority="8" operator="containsText" text="Incomplete">
      <formula>NOT(ISERROR(SEARCH(("Incomplete"),(F1))))</formula>
    </cfRule>
  </conditionalFormatting>
  <conditionalFormatting sqref="I6:I28">
    <cfRule type="containsText" dxfId="60" priority="1" operator="containsText" text="Passed">
      <formula>NOT(ISERROR(SEARCH(("Passed"),(I6))))</formula>
    </cfRule>
    <cfRule type="containsText" dxfId="59" priority="2" operator="containsText" text="Failed">
      <formula>NOT(ISERROR(SEARCH(("Failed"),(I6))))</formula>
    </cfRule>
    <cfRule type="containsText" dxfId="58" priority="3" operator="containsText" text="Bug ok">
      <formula>NOT(ISERROR(SEARCH(("Bug ok"),(I6))))</formula>
    </cfRule>
    <cfRule type="containsText" dxfId="57" priority="4" operator="containsText" text="Blocked">
      <formula>NOT(ISERROR(SEARCH(("Blocked"),(I6))))</formula>
    </cfRule>
    <cfRule type="containsText" dxfId="56" priority="5" operator="containsText" text="Cannot run">
      <formula>NOT(ISERROR(SEARCH(("Cannot run"),(J6))))</formula>
    </cfRule>
  </conditionalFormatting>
  <dataValidations count="1">
    <dataValidation type="list" allowBlank="1" showErrorMessage="1" sqref="I6:I28" xr:uid="{B8BE682C-2BEB-422D-B609-C3B4AB8E340F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A296-C976-46FD-8068-CA596CDE26EE}">
  <dimension ref="A1:I20"/>
  <sheetViews>
    <sheetView topLeftCell="C1" workbookViewId="0">
      <selection activeCell="G3" sqref="G3"/>
    </sheetView>
  </sheetViews>
  <sheetFormatPr defaultRowHeight="14.5" x14ac:dyDescent="0.35"/>
  <cols>
    <col min="1" max="1" width="38.26953125" customWidth="1"/>
    <col min="2" max="7" width="27.7265625" customWidth="1"/>
    <col min="8" max="8" width="38.81640625" customWidth="1"/>
    <col min="9" max="9" width="27.7265625" customWidth="1"/>
  </cols>
  <sheetData>
    <row r="1" spans="1:9" ht="15.5" x14ac:dyDescent="0.35">
      <c r="A1" s="76"/>
      <c r="B1" s="35" t="s">
        <v>2</v>
      </c>
      <c r="C1" s="103" t="s">
        <v>2820</v>
      </c>
      <c r="D1" s="101"/>
      <c r="E1" s="87"/>
      <c r="F1" s="18" t="s">
        <v>52</v>
      </c>
      <c r="G1" s="10" t="s">
        <v>4</v>
      </c>
      <c r="H1" s="20" t="s">
        <v>5</v>
      </c>
      <c r="I1" s="21" t="s">
        <v>6</v>
      </c>
    </row>
    <row r="2" spans="1:9" ht="18" x14ac:dyDescent="0.35">
      <c r="A2" s="76"/>
      <c r="B2" s="35" t="s">
        <v>53</v>
      </c>
      <c r="C2" s="104" t="s">
        <v>54</v>
      </c>
      <c r="D2" s="80"/>
      <c r="E2" s="82"/>
      <c r="F2" s="22">
        <f>COUNTIF(A1:A178,"TC-??")</f>
        <v>15</v>
      </c>
      <c r="G2" s="14">
        <f>COUNTIF(I4:I844,"Đạt")</f>
        <v>15</v>
      </c>
      <c r="H2" s="6">
        <f>COUNTIF(F4:F840,"Không Đạt")</f>
        <v>0</v>
      </c>
      <c r="I2" s="6">
        <f>COUNTIF(F4:F840,"Chưa Xong")</f>
        <v>0</v>
      </c>
    </row>
    <row r="3" spans="1:9" ht="18" x14ac:dyDescent="0.35">
      <c r="A3" s="76"/>
      <c r="B3" s="35" t="s">
        <v>55</v>
      </c>
      <c r="C3" s="105">
        <v>46003</v>
      </c>
      <c r="D3" s="80"/>
      <c r="E3" s="83"/>
      <c r="F3" s="23">
        <f>SUM(G3+H3+I3)</f>
        <v>1</v>
      </c>
      <c r="G3" s="16">
        <f>G2/F2</f>
        <v>1</v>
      </c>
      <c r="H3" s="24">
        <f>H2/F2</f>
        <v>0</v>
      </c>
      <c r="I3" s="23">
        <f>I2/F2</f>
        <v>0</v>
      </c>
    </row>
    <row r="4" spans="1:9" x14ac:dyDescent="0.35">
      <c r="B4" s="36"/>
    </row>
    <row r="5" spans="1:9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9" ht="43.5" x14ac:dyDescent="0.35">
      <c r="A6" s="17" t="s">
        <v>65</v>
      </c>
      <c r="B6" s="17" t="s">
        <v>2821</v>
      </c>
      <c r="C6" s="17" t="s">
        <v>2822</v>
      </c>
      <c r="D6" s="17" t="s">
        <v>2823</v>
      </c>
      <c r="E6" s="17" t="s">
        <v>2824</v>
      </c>
      <c r="F6" s="17" t="s">
        <v>2825</v>
      </c>
      <c r="G6" s="33" t="s">
        <v>2826</v>
      </c>
      <c r="H6" s="17" t="s">
        <v>2827</v>
      </c>
      <c r="I6" s="51" t="s">
        <v>4</v>
      </c>
    </row>
    <row r="7" spans="1:9" x14ac:dyDescent="0.35">
      <c r="A7" s="17" t="s">
        <v>72</v>
      </c>
      <c r="B7" s="17" t="s">
        <v>2821</v>
      </c>
      <c r="C7" s="17" t="s">
        <v>2822</v>
      </c>
      <c r="D7" s="17" t="s">
        <v>2136</v>
      </c>
      <c r="E7" s="17" t="s">
        <v>2828</v>
      </c>
      <c r="F7" s="17" t="s">
        <v>2829</v>
      </c>
      <c r="G7" s="17" t="s">
        <v>2830</v>
      </c>
      <c r="H7" s="17" t="s">
        <v>2831</v>
      </c>
      <c r="I7" s="51" t="s">
        <v>4</v>
      </c>
    </row>
    <row r="8" spans="1:9" x14ac:dyDescent="0.35">
      <c r="A8" s="17" t="s">
        <v>77</v>
      </c>
      <c r="B8" s="17" t="s">
        <v>2821</v>
      </c>
      <c r="C8" s="17" t="s">
        <v>2822</v>
      </c>
      <c r="D8" s="17" t="s">
        <v>2832</v>
      </c>
      <c r="E8" s="17" t="s">
        <v>2833</v>
      </c>
      <c r="F8" s="17" t="s">
        <v>2834</v>
      </c>
      <c r="G8" s="17" t="s">
        <v>2830</v>
      </c>
      <c r="H8" s="17" t="s">
        <v>2835</v>
      </c>
      <c r="I8" s="51" t="s">
        <v>4</v>
      </c>
    </row>
    <row r="9" spans="1:9" x14ac:dyDescent="0.35">
      <c r="A9" s="17" t="s">
        <v>83</v>
      </c>
      <c r="B9" s="17" t="s">
        <v>2821</v>
      </c>
      <c r="C9" s="17" t="s">
        <v>2822</v>
      </c>
      <c r="D9" s="17" t="s">
        <v>2836</v>
      </c>
      <c r="E9" s="17" t="s">
        <v>2837</v>
      </c>
      <c r="F9" s="17" t="s">
        <v>2838</v>
      </c>
      <c r="G9" s="17" t="s">
        <v>2830</v>
      </c>
      <c r="H9" s="17" t="s">
        <v>2839</v>
      </c>
      <c r="I9" s="51" t="s">
        <v>4</v>
      </c>
    </row>
    <row r="10" spans="1:9" ht="29" x14ac:dyDescent="0.35">
      <c r="A10" s="17" t="s">
        <v>88</v>
      </c>
      <c r="B10" s="17" t="s">
        <v>2821</v>
      </c>
      <c r="C10" s="17" t="s">
        <v>2822</v>
      </c>
      <c r="D10" s="17" t="s">
        <v>2840</v>
      </c>
      <c r="E10" s="17" t="s">
        <v>2841</v>
      </c>
      <c r="F10" s="17" t="s">
        <v>2842</v>
      </c>
      <c r="G10" s="17" t="s">
        <v>2843</v>
      </c>
      <c r="H10" s="17" t="s">
        <v>2844</v>
      </c>
      <c r="I10" s="51" t="s">
        <v>4</v>
      </c>
    </row>
    <row r="11" spans="1:9" ht="29" x14ac:dyDescent="0.35">
      <c r="A11" s="17" t="s">
        <v>233</v>
      </c>
      <c r="B11" s="17" t="s">
        <v>2821</v>
      </c>
      <c r="C11" s="17" t="s">
        <v>2822</v>
      </c>
      <c r="D11" s="17" t="s">
        <v>2845</v>
      </c>
      <c r="E11" s="17" t="s">
        <v>2846</v>
      </c>
      <c r="F11" s="17" t="s">
        <v>2847</v>
      </c>
      <c r="G11" s="17" t="s">
        <v>2848</v>
      </c>
      <c r="H11" s="17" t="s">
        <v>2849</v>
      </c>
      <c r="I11" s="51" t="s">
        <v>4</v>
      </c>
    </row>
    <row r="12" spans="1:9" ht="29" x14ac:dyDescent="0.35">
      <c r="A12" s="17" t="s">
        <v>93</v>
      </c>
      <c r="B12" s="17" t="s">
        <v>2821</v>
      </c>
      <c r="C12" s="17" t="s">
        <v>2822</v>
      </c>
      <c r="D12" s="17" t="s">
        <v>2850</v>
      </c>
      <c r="E12" s="17" t="s">
        <v>2851</v>
      </c>
      <c r="F12" s="17" t="s">
        <v>2852</v>
      </c>
      <c r="G12" s="17" t="s">
        <v>2853</v>
      </c>
      <c r="H12" s="17" t="s">
        <v>2854</v>
      </c>
      <c r="I12" s="51" t="s">
        <v>4</v>
      </c>
    </row>
    <row r="13" spans="1:9" ht="29" x14ac:dyDescent="0.35">
      <c r="A13" s="17" t="s">
        <v>98</v>
      </c>
      <c r="B13" s="17" t="s">
        <v>2821</v>
      </c>
      <c r="C13" s="17" t="s">
        <v>2822</v>
      </c>
      <c r="D13" s="17" t="s">
        <v>2855</v>
      </c>
      <c r="E13" s="17" t="s">
        <v>2856</v>
      </c>
      <c r="F13" s="17" t="s">
        <v>2857</v>
      </c>
      <c r="G13" s="17" t="s">
        <v>2858</v>
      </c>
      <c r="H13" s="17" t="s">
        <v>2859</v>
      </c>
      <c r="I13" s="51" t="s">
        <v>4</v>
      </c>
    </row>
    <row r="14" spans="1:9" ht="29" x14ac:dyDescent="0.35">
      <c r="A14" s="17" t="s">
        <v>105</v>
      </c>
      <c r="B14" s="17" t="s">
        <v>2821</v>
      </c>
      <c r="C14" s="17" t="s">
        <v>2822</v>
      </c>
      <c r="D14" s="17" t="s">
        <v>2860</v>
      </c>
      <c r="E14" s="17" t="s">
        <v>2861</v>
      </c>
      <c r="F14" s="17" t="s">
        <v>2862</v>
      </c>
      <c r="G14" s="17" t="s">
        <v>2863</v>
      </c>
      <c r="H14" s="17" t="s">
        <v>2864</v>
      </c>
      <c r="I14" s="51" t="s">
        <v>4</v>
      </c>
    </row>
    <row r="15" spans="1:9" ht="29" x14ac:dyDescent="0.35">
      <c r="A15" s="17" t="s">
        <v>113</v>
      </c>
      <c r="B15" s="17" t="s">
        <v>2821</v>
      </c>
      <c r="C15" s="17" t="s">
        <v>2822</v>
      </c>
      <c r="D15" s="17" t="s">
        <v>2865</v>
      </c>
      <c r="E15" s="17" t="s">
        <v>2866</v>
      </c>
      <c r="F15" s="17" t="s">
        <v>2867</v>
      </c>
      <c r="G15" s="17" t="s">
        <v>2868</v>
      </c>
      <c r="H15" s="17" t="s">
        <v>2869</v>
      </c>
      <c r="I15" s="51" t="s">
        <v>4</v>
      </c>
    </row>
    <row r="16" spans="1:9" ht="29" x14ac:dyDescent="0.35">
      <c r="A16" s="17" t="s">
        <v>119</v>
      </c>
      <c r="B16" s="17" t="s">
        <v>2821</v>
      </c>
      <c r="C16" s="17" t="s">
        <v>2822</v>
      </c>
      <c r="D16" s="17" t="s">
        <v>2870</v>
      </c>
      <c r="E16" s="17" t="s">
        <v>2871</v>
      </c>
      <c r="F16" s="17" t="s">
        <v>2872</v>
      </c>
      <c r="G16" s="17" t="s">
        <v>2873</v>
      </c>
      <c r="H16" s="17" t="s">
        <v>2874</v>
      </c>
      <c r="I16" s="51" t="s">
        <v>4</v>
      </c>
    </row>
    <row r="17" spans="1:9" ht="29" x14ac:dyDescent="0.35">
      <c r="A17" s="17" t="s">
        <v>125</v>
      </c>
      <c r="B17" s="17" t="s">
        <v>2821</v>
      </c>
      <c r="C17" s="17" t="s">
        <v>2822</v>
      </c>
      <c r="D17" s="17" t="s">
        <v>2822</v>
      </c>
      <c r="E17" s="17" t="s">
        <v>2875</v>
      </c>
      <c r="F17" s="17" t="s">
        <v>2822</v>
      </c>
      <c r="G17" s="17" t="s">
        <v>2876</v>
      </c>
      <c r="H17" s="17" t="s">
        <v>2877</v>
      </c>
      <c r="I17" s="51" t="s">
        <v>4</v>
      </c>
    </row>
    <row r="18" spans="1:9" ht="29" x14ac:dyDescent="0.35">
      <c r="A18" s="17" t="s">
        <v>132</v>
      </c>
      <c r="B18" s="17" t="s">
        <v>2821</v>
      </c>
      <c r="C18" s="17" t="s">
        <v>2822</v>
      </c>
      <c r="D18" s="17" t="s">
        <v>314</v>
      </c>
      <c r="E18" s="17" t="s">
        <v>2878</v>
      </c>
      <c r="F18" s="17" t="s">
        <v>2879</v>
      </c>
      <c r="G18" s="17" t="s">
        <v>316</v>
      </c>
      <c r="H18" s="17" t="s">
        <v>2880</v>
      </c>
      <c r="I18" s="51" t="s">
        <v>4</v>
      </c>
    </row>
    <row r="19" spans="1:9" ht="29" x14ac:dyDescent="0.35">
      <c r="A19" s="17" t="s">
        <v>138</v>
      </c>
      <c r="B19" s="17" t="s">
        <v>2821</v>
      </c>
      <c r="C19" s="17" t="s">
        <v>2822</v>
      </c>
      <c r="D19" s="17" t="s">
        <v>2881</v>
      </c>
      <c r="E19" s="17" t="s">
        <v>2882</v>
      </c>
      <c r="F19" s="17" t="s">
        <v>2883</v>
      </c>
      <c r="G19" s="17" t="s">
        <v>2884</v>
      </c>
      <c r="H19" s="17" t="s">
        <v>2885</v>
      </c>
      <c r="I19" s="51" t="s">
        <v>4</v>
      </c>
    </row>
    <row r="20" spans="1:9" x14ac:dyDescent="0.35">
      <c r="A20" s="17" t="s">
        <v>144</v>
      </c>
      <c r="B20" s="17" t="s">
        <v>2821</v>
      </c>
      <c r="C20" s="17" t="s">
        <v>2822</v>
      </c>
      <c r="D20" s="17" t="s">
        <v>2223</v>
      </c>
      <c r="E20" s="17" t="s">
        <v>2886</v>
      </c>
      <c r="F20" s="17" t="s">
        <v>2887</v>
      </c>
      <c r="G20" s="17" t="s">
        <v>2888</v>
      </c>
      <c r="H20" s="17" t="s">
        <v>2889</v>
      </c>
      <c r="I20" s="51" t="s">
        <v>4</v>
      </c>
    </row>
  </sheetData>
  <mergeCells count="5">
    <mergeCell ref="A1:A3"/>
    <mergeCell ref="C1:D1"/>
    <mergeCell ref="E1:E3"/>
    <mergeCell ref="C2:D2"/>
    <mergeCell ref="C3:D3"/>
  </mergeCells>
  <conditionalFormatting sqref="F1">
    <cfRule type="containsText" dxfId="55" priority="11" operator="containsText" text="Passed">
      <formula>NOT(ISERROR(SEARCH(("Passed"),(F1))))</formula>
    </cfRule>
    <cfRule type="containsText" dxfId="54" priority="12" operator="containsText" text="Failed">
      <formula>NOT(ISERROR(SEARCH(("Failed"),(F1))))</formula>
    </cfRule>
    <cfRule type="containsText" dxfId="53" priority="13" operator="containsText" text="Incomplete">
      <formula>NOT(ISERROR(SEARCH(("Incomplete"),(F1))))</formula>
    </cfRule>
  </conditionalFormatting>
  <conditionalFormatting sqref="I6:I20">
    <cfRule type="containsText" dxfId="52" priority="1" operator="containsText" text="Passed">
      <formula>NOT(ISERROR(SEARCH(("Passed"),(I6))))</formula>
    </cfRule>
    <cfRule type="containsText" dxfId="51" priority="2" operator="containsText" text="Failed">
      <formula>NOT(ISERROR(SEARCH(("Failed"),(I6))))</formula>
    </cfRule>
    <cfRule type="containsText" dxfId="50" priority="3" operator="containsText" text="Bug ok">
      <formula>NOT(ISERROR(SEARCH(("Bug ok"),(I6))))</formula>
    </cfRule>
    <cfRule type="containsText" dxfId="49" priority="4" operator="containsText" text="Blocked">
      <formula>NOT(ISERROR(SEARCH(("Blocked"),(I6))))</formula>
    </cfRule>
    <cfRule type="containsText" dxfId="48" priority="5" operator="containsText" text="Cannot run">
      <formula>NOT(ISERROR(SEARCH(("Cannot run"),(J6))))</formula>
    </cfRule>
  </conditionalFormatting>
  <dataValidations count="1">
    <dataValidation type="list" allowBlank="1" showErrorMessage="1" sqref="I6:I20" xr:uid="{3DFCF630-F3F2-4F8C-B6B3-BA438A756D83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D3D6-71FE-40DC-8E69-526C47593F1E}">
  <dimension ref="A1:I20"/>
  <sheetViews>
    <sheetView workbookViewId="0">
      <selection activeCell="I5" sqref="I5:I6"/>
    </sheetView>
  </sheetViews>
  <sheetFormatPr defaultRowHeight="14.5" x14ac:dyDescent="0.35"/>
  <cols>
    <col min="1" max="1" width="37.81640625" customWidth="1"/>
    <col min="2" max="9" width="27.26953125" customWidth="1"/>
  </cols>
  <sheetData>
    <row r="1" spans="1:9" ht="15.5" x14ac:dyDescent="0.35">
      <c r="A1" s="76"/>
      <c r="B1" s="35" t="s">
        <v>2</v>
      </c>
      <c r="C1" s="103" t="s">
        <v>2890</v>
      </c>
      <c r="D1" s="101"/>
      <c r="E1" s="87"/>
      <c r="F1" s="18" t="s">
        <v>52</v>
      </c>
      <c r="G1" s="10" t="s">
        <v>4</v>
      </c>
      <c r="H1" s="20" t="s">
        <v>5</v>
      </c>
      <c r="I1" s="21" t="s">
        <v>6</v>
      </c>
    </row>
    <row r="2" spans="1:9" ht="18" x14ac:dyDescent="0.35">
      <c r="A2" s="76"/>
      <c r="B2" s="35" t="s">
        <v>53</v>
      </c>
      <c r="C2" s="104" t="s">
        <v>54</v>
      </c>
      <c r="D2" s="80"/>
      <c r="E2" s="82"/>
      <c r="F2" s="22">
        <f>COUNTIF(A1:A178,"TC-??")</f>
        <v>15</v>
      </c>
      <c r="G2" s="14">
        <f>COUNTIF(I4:I844,"Đạt")</f>
        <v>15</v>
      </c>
      <c r="H2" s="6">
        <f>COUNTIF(F4:F840,"Không Đạt")</f>
        <v>0</v>
      </c>
      <c r="I2" s="6">
        <f>COUNTIF(F4:F840,"Chưa Xong")</f>
        <v>0</v>
      </c>
    </row>
    <row r="3" spans="1:9" ht="18" x14ac:dyDescent="0.35">
      <c r="A3" s="76"/>
      <c r="B3" s="35" t="s">
        <v>55</v>
      </c>
      <c r="C3" s="105">
        <v>46003</v>
      </c>
      <c r="D3" s="80"/>
      <c r="E3" s="83"/>
      <c r="F3" s="23">
        <f>SUM(G3+H3+I3)</f>
        <v>1</v>
      </c>
      <c r="G3" s="16">
        <f>G2/F2</f>
        <v>1</v>
      </c>
      <c r="H3" s="24">
        <f>H2/F2</f>
        <v>0</v>
      </c>
      <c r="I3" s="23">
        <f>I2/F2</f>
        <v>0</v>
      </c>
    </row>
    <row r="5" spans="1:9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9" ht="43.5" x14ac:dyDescent="0.35">
      <c r="A6" s="17" t="s">
        <v>65</v>
      </c>
      <c r="B6" s="17" t="s">
        <v>2891</v>
      </c>
      <c r="C6" s="17" t="s">
        <v>2546</v>
      </c>
      <c r="D6" s="17" t="s">
        <v>2892</v>
      </c>
      <c r="E6" s="17" t="s">
        <v>2893</v>
      </c>
      <c r="F6" s="17" t="s">
        <v>2894</v>
      </c>
      <c r="G6" s="33" t="s">
        <v>2895</v>
      </c>
      <c r="H6" s="17" t="s">
        <v>2896</v>
      </c>
      <c r="I6" s="51" t="s">
        <v>4</v>
      </c>
    </row>
    <row r="7" spans="1:9" ht="29" x14ac:dyDescent="0.35">
      <c r="A7" s="17" t="s">
        <v>72</v>
      </c>
      <c r="B7" s="17" t="s">
        <v>2891</v>
      </c>
      <c r="C7" s="17" t="s">
        <v>2546</v>
      </c>
      <c r="D7" s="17" t="s">
        <v>2897</v>
      </c>
      <c r="E7" s="17" t="s">
        <v>2898</v>
      </c>
      <c r="F7" s="17" t="s">
        <v>2899</v>
      </c>
      <c r="G7" s="17" t="s">
        <v>2900</v>
      </c>
      <c r="H7" s="17" t="s">
        <v>2901</v>
      </c>
      <c r="I7" s="51" t="s">
        <v>4</v>
      </c>
    </row>
    <row r="8" spans="1:9" ht="29" x14ac:dyDescent="0.35">
      <c r="A8" s="17" t="s">
        <v>77</v>
      </c>
      <c r="B8" s="17" t="s">
        <v>2902</v>
      </c>
      <c r="C8" s="17" t="s">
        <v>2546</v>
      </c>
      <c r="D8" s="17" t="s">
        <v>2903</v>
      </c>
      <c r="E8" s="17" t="s">
        <v>2904</v>
      </c>
      <c r="F8" s="17" t="s">
        <v>2905</v>
      </c>
      <c r="G8" s="17" t="s">
        <v>2906</v>
      </c>
      <c r="H8" s="17" t="s">
        <v>2907</v>
      </c>
      <c r="I8" s="51" t="s">
        <v>4</v>
      </c>
    </row>
    <row r="9" spans="1:9" ht="29" x14ac:dyDescent="0.35">
      <c r="A9" s="17" t="s">
        <v>83</v>
      </c>
      <c r="B9" s="17" t="s">
        <v>2902</v>
      </c>
      <c r="C9" s="17" t="s">
        <v>2546</v>
      </c>
      <c r="D9" s="17" t="s">
        <v>2903</v>
      </c>
      <c r="E9" s="17" t="s">
        <v>2908</v>
      </c>
      <c r="F9" s="17" t="s">
        <v>2909</v>
      </c>
      <c r="G9" s="17" t="s">
        <v>2910</v>
      </c>
      <c r="H9" s="17" t="s">
        <v>2911</v>
      </c>
      <c r="I9" s="51" t="s">
        <v>4</v>
      </c>
    </row>
    <row r="10" spans="1:9" ht="29" x14ac:dyDescent="0.35">
      <c r="A10" s="17" t="s">
        <v>88</v>
      </c>
      <c r="B10" s="17" t="s">
        <v>2902</v>
      </c>
      <c r="C10" s="17" t="s">
        <v>2546</v>
      </c>
      <c r="D10" s="17" t="s">
        <v>2903</v>
      </c>
      <c r="E10" s="17" t="s">
        <v>2846</v>
      </c>
      <c r="F10" s="17" t="s">
        <v>2912</v>
      </c>
      <c r="G10" s="17" t="s">
        <v>2913</v>
      </c>
      <c r="H10" s="17" t="s">
        <v>2914</v>
      </c>
      <c r="I10" s="51" t="s">
        <v>4</v>
      </c>
    </row>
    <row r="11" spans="1:9" ht="29" x14ac:dyDescent="0.35">
      <c r="A11" s="17" t="s">
        <v>233</v>
      </c>
      <c r="B11" s="17" t="s">
        <v>2915</v>
      </c>
      <c r="C11" s="17" t="s">
        <v>2546</v>
      </c>
      <c r="D11" s="17" t="s">
        <v>2916</v>
      </c>
      <c r="E11" s="17" t="s">
        <v>904</v>
      </c>
      <c r="F11" s="17" t="s">
        <v>2917</v>
      </c>
      <c r="G11" s="17" t="s">
        <v>2918</v>
      </c>
      <c r="H11" s="17" t="s">
        <v>2919</v>
      </c>
      <c r="I11" s="51" t="s">
        <v>4</v>
      </c>
    </row>
    <row r="12" spans="1:9" ht="29" x14ac:dyDescent="0.35">
      <c r="A12" s="17" t="s">
        <v>93</v>
      </c>
      <c r="B12" s="17" t="s">
        <v>2915</v>
      </c>
      <c r="C12" s="17" t="s">
        <v>2546</v>
      </c>
      <c r="D12" s="17" t="s">
        <v>2920</v>
      </c>
      <c r="E12" s="17" t="s">
        <v>1837</v>
      </c>
      <c r="F12" s="17" t="s">
        <v>2921</v>
      </c>
      <c r="G12" s="17" t="s">
        <v>1839</v>
      </c>
      <c r="H12" s="17" t="s">
        <v>2922</v>
      </c>
      <c r="I12" s="51" t="s">
        <v>4</v>
      </c>
    </row>
    <row r="13" spans="1:9" ht="43.5" x14ac:dyDescent="0.35">
      <c r="A13" s="17" t="s">
        <v>98</v>
      </c>
      <c r="B13" s="17" t="s">
        <v>2923</v>
      </c>
      <c r="C13" s="17" t="s">
        <v>2546</v>
      </c>
      <c r="D13" s="17" t="s">
        <v>2924</v>
      </c>
      <c r="E13" s="17" t="s">
        <v>1859</v>
      </c>
      <c r="F13" s="17" t="s">
        <v>2644</v>
      </c>
      <c r="G13" s="17" t="s">
        <v>2925</v>
      </c>
      <c r="H13" s="17" t="s">
        <v>2926</v>
      </c>
      <c r="I13" s="51" t="s">
        <v>4</v>
      </c>
    </row>
    <row r="14" spans="1:9" ht="29" x14ac:dyDescent="0.35">
      <c r="A14" s="17" t="s">
        <v>105</v>
      </c>
      <c r="B14" s="17" t="s">
        <v>2923</v>
      </c>
      <c r="C14" s="17" t="s">
        <v>2546</v>
      </c>
      <c r="D14" s="17" t="s">
        <v>2927</v>
      </c>
      <c r="E14" s="17" t="s">
        <v>1859</v>
      </c>
      <c r="F14" s="17" t="s">
        <v>2928</v>
      </c>
      <c r="G14" s="17" t="s">
        <v>2929</v>
      </c>
      <c r="H14" s="17" t="s">
        <v>2930</v>
      </c>
      <c r="I14" s="51" t="s">
        <v>4</v>
      </c>
    </row>
    <row r="15" spans="1:9" ht="29" x14ac:dyDescent="0.35">
      <c r="A15" s="17" t="s">
        <v>113</v>
      </c>
      <c r="B15" s="17" t="s">
        <v>2923</v>
      </c>
      <c r="C15" s="17" t="s">
        <v>2546</v>
      </c>
      <c r="D15" s="17" t="s">
        <v>2931</v>
      </c>
      <c r="E15" s="17" t="s">
        <v>1859</v>
      </c>
      <c r="F15" s="17" t="s">
        <v>2932</v>
      </c>
      <c r="G15" s="17" t="s">
        <v>2933</v>
      </c>
      <c r="H15" s="17" t="s">
        <v>2934</v>
      </c>
      <c r="I15" s="51" t="s">
        <v>4</v>
      </c>
    </row>
    <row r="16" spans="1:9" ht="29" x14ac:dyDescent="0.35">
      <c r="A16" s="17" t="s">
        <v>119</v>
      </c>
      <c r="B16" s="17" t="s">
        <v>2923</v>
      </c>
      <c r="C16" s="17" t="s">
        <v>2546</v>
      </c>
      <c r="D16" s="17" t="s">
        <v>2935</v>
      </c>
      <c r="E16" s="17" t="s">
        <v>1859</v>
      </c>
      <c r="F16" s="17" t="s">
        <v>2936</v>
      </c>
      <c r="G16" s="17" t="s">
        <v>2937</v>
      </c>
      <c r="H16" s="17" t="s">
        <v>2938</v>
      </c>
      <c r="I16" s="51" t="s">
        <v>4</v>
      </c>
    </row>
    <row r="17" spans="1:9" ht="29" x14ac:dyDescent="0.35">
      <c r="A17" s="17" t="s">
        <v>125</v>
      </c>
      <c r="B17" s="17" t="s">
        <v>2923</v>
      </c>
      <c r="C17" s="17" t="s">
        <v>2546</v>
      </c>
      <c r="D17" s="17" t="s">
        <v>2939</v>
      </c>
      <c r="E17" s="17" t="s">
        <v>1859</v>
      </c>
      <c r="F17" s="17" t="s">
        <v>2940</v>
      </c>
      <c r="G17" s="17" t="s">
        <v>2941</v>
      </c>
      <c r="H17" s="17" t="s">
        <v>2942</v>
      </c>
      <c r="I17" s="51" t="s">
        <v>4</v>
      </c>
    </row>
    <row r="18" spans="1:9" ht="29" x14ac:dyDescent="0.35">
      <c r="A18" s="17" t="s">
        <v>132</v>
      </c>
      <c r="B18" s="17" t="s">
        <v>2943</v>
      </c>
      <c r="C18" s="17" t="s">
        <v>2546</v>
      </c>
      <c r="D18" s="17" t="s">
        <v>2944</v>
      </c>
      <c r="E18" s="17" t="s">
        <v>2945</v>
      </c>
      <c r="F18" s="17" t="s">
        <v>2946</v>
      </c>
      <c r="G18" s="17" t="s">
        <v>2947</v>
      </c>
      <c r="H18" s="17" t="s">
        <v>2948</v>
      </c>
      <c r="I18" s="51" t="s">
        <v>4</v>
      </c>
    </row>
    <row r="19" spans="1:9" ht="29" x14ac:dyDescent="0.35">
      <c r="A19" s="17" t="s">
        <v>138</v>
      </c>
      <c r="B19" s="17" t="s">
        <v>2949</v>
      </c>
      <c r="C19" s="17" t="s">
        <v>2546</v>
      </c>
      <c r="D19" s="17" t="s">
        <v>2950</v>
      </c>
      <c r="E19" s="17" t="s">
        <v>1963</v>
      </c>
      <c r="F19" s="17" t="s">
        <v>2951</v>
      </c>
      <c r="G19" s="17" t="s">
        <v>2952</v>
      </c>
      <c r="H19" s="17" t="s">
        <v>2953</v>
      </c>
      <c r="I19" s="51" t="s">
        <v>4</v>
      </c>
    </row>
    <row r="20" spans="1:9" ht="29" x14ac:dyDescent="0.35">
      <c r="A20" s="17" t="s">
        <v>144</v>
      </c>
      <c r="B20" s="17" t="s">
        <v>2954</v>
      </c>
      <c r="C20" s="17" t="s">
        <v>2546</v>
      </c>
      <c r="D20" s="17" t="s">
        <v>1584</v>
      </c>
      <c r="E20" s="17" t="s">
        <v>1963</v>
      </c>
      <c r="F20" s="17" t="s">
        <v>2955</v>
      </c>
      <c r="G20" s="17" t="s">
        <v>2956</v>
      </c>
      <c r="H20" s="17" t="s">
        <v>2957</v>
      </c>
      <c r="I20" s="51" t="s">
        <v>4</v>
      </c>
    </row>
  </sheetData>
  <mergeCells count="5">
    <mergeCell ref="A1:A3"/>
    <mergeCell ref="C1:D1"/>
    <mergeCell ref="E1:E3"/>
    <mergeCell ref="C2:D2"/>
    <mergeCell ref="C3:D3"/>
  </mergeCells>
  <conditionalFormatting sqref="F1">
    <cfRule type="containsText" dxfId="47" priority="6" operator="containsText" text="Passed">
      <formula>NOT(ISERROR(SEARCH(("Passed"),(F1))))</formula>
    </cfRule>
    <cfRule type="containsText" dxfId="46" priority="7" operator="containsText" text="Failed">
      <formula>NOT(ISERROR(SEARCH(("Failed"),(F1))))</formula>
    </cfRule>
    <cfRule type="containsText" dxfId="45" priority="8" operator="containsText" text="Incomplete">
      <formula>NOT(ISERROR(SEARCH(("Incomplete"),(F1))))</formula>
    </cfRule>
  </conditionalFormatting>
  <conditionalFormatting sqref="I6:I20">
    <cfRule type="containsText" dxfId="44" priority="1" operator="containsText" text="Passed">
      <formula>NOT(ISERROR(SEARCH(("Passed"),(I6))))</formula>
    </cfRule>
    <cfRule type="containsText" dxfId="43" priority="2" operator="containsText" text="Failed">
      <formula>NOT(ISERROR(SEARCH(("Failed"),(I6))))</formula>
    </cfRule>
    <cfRule type="containsText" dxfId="42" priority="3" operator="containsText" text="Bug ok">
      <formula>NOT(ISERROR(SEARCH(("Bug ok"),(I6))))</formula>
    </cfRule>
    <cfRule type="containsText" dxfId="41" priority="4" operator="containsText" text="Blocked">
      <formula>NOT(ISERROR(SEARCH(("Blocked"),(I6))))</formula>
    </cfRule>
    <cfRule type="containsText" dxfId="40" priority="5" operator="containsText" text="Cannot run">
      <formula>NOT(ISERROR(SEARCH(("Cannot run"),(J6))))</formula>
    </cfRule>
  </conditionalFormatting>
  <dataValidations count="1">
    <dataValidation type="list" allowBlank="1" showErrorMessage="1" sqref="I6:I20" xr:uid="{27349048-CFEF-460E-AB52-7214F1E4B856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1413-7757-4135-BEA8-D807144972FC}">
  <dimension ref="A1:I32"/>
  <sheetViews>
    <sheetView topLeftCell="A25" workbookViewId="0">
      <selection activeCell="I6" sqref="I6:I32"/>
    </sheetView>
  </sheetViews>
  <sheetFormatPr defaultRowHeight="14.5" x14ac:dyDescent="0.35"/>
  <cols>
    <col min="1" max="1" width="38.7265625" customWidth="1"/>
    <col min="2" max="9" width="27.54296875" customWidth="1"/>
  </cols>
  <sheetData>
    <row r="1" spans="1:9" ht="15.5" x14ac:dyDescent="0.35">
      <c r="A1" s="76"/>
      <c r="B1" s="35" t="s">
        <v>2</v>
      </c>
      <c r="C1" s="103" t="s">
        <v>2958</v>
      </c>
      <c r="D1" s="101"/>
      <c r="E1" s="87"/>
      <c r="F1" s="18" t="s">
        <v>52</v>
      </c>
      <c r="G1" s="10" t="s">
        <v>4</v>
      </c>
      <c r="H1" s="20" t="s">
        <v>5</v>
      </c>
      <c r="I1" s="21" t="s">
        <v>6</v>
      </c>
    </row>
    <row r="2" spans="1:9" ht="18" x14ac:dyDescent="0.35">
      <c r="A2" s="76"/>
      <c r="B2" s="35" t="s">
        <v>53</v>
      </c>
      <c r="C2" s="104" t="s">
        <v>54</v>
      </c>
      <c r="D2" s="80"/>
      <c r="E2" s="82"/>
      <c r="F2" s="22">
        <f>COUNTIF(A1:A180,"TC-??")</f>
        <v>27</v>
      </c>
      <c r="G2" s="14">
        <f>COUNTIF(I4:I844,"Đạt")</f>
        <v>27</v>
      </c>
      <c r="H2" s="6">
        <f>COUNTIF(F4:F842,"Không Đạt")</f>
        <v>0</v>
      </c>
      <c r="I2" s="6">
        <f>COUNTIF(F4:F842,"Chưa Xong")</f>
        <v>0</v>
      </c>
    </row>
    <row r="3" spans="1:9" ht="18" x14ac:dyDescent="0.35">
      <c r="A3" s="76"/>
      <c r="B3" s="35" t="s">
        <v>55</v>
      </c>
      <c r="C3" s="105">
        <v>46003</v>
      </c>
      <c r="D3" s="80"/>
      <c r="E3" s="83"/>
      <c r="F3" s="23">
        <f>SUM(G3+H3+I3)</f>
        <v>1</v>
      </c>
      <c r="G3" s="16">
        <f>G2/F2</f>
        <v>1</v>
      </c>
      <c r="H3" s="24">
        <f>H2/F2</f>
        <v>0</v>
      </c>
      <c r="I3" s="23">
        <f>I2/F2</f>
        <v>0</v>
      </c>
    </row>
    <row r="5" spans="1:9" x14ac:dyDescent="0.35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9" ht="72.5" x14ac:dyDescent="0.35">
      <c r="A6" s="17" t="s">
        <v>65</v>
      </c>
      <c r="B6" s="17" t="s">
        <v>2959</v>
      </c>
      <c r="C6" s="17" t="s">
        <v>2960</v>
      </c>
      <c r="D6" s="17" t="s">
        <v>2961</v>
      </c>
      <c r="E6" s="17" t="s">
        <v>2962</v>
      </c>
      <c r="F6" s="17" t="s">
        <v>2963</v>
      </c>
      <c r="G6" s="17" t="s">
        <v>2964</v>
      </c>
      <c r="H6" s="17" t="s">
        <v>2965</v>
      </c>
      <c r="I6" s="51" t="s">
        <v>4</v>
      </c>
    </row>
    <row r="7" spans="1:9" ht="58" x14ac:dyDescent="0.35">
      <c r="A7" s="17" t="s">
        <v>72</v>
      </c>
      <c r="B7" s="17" t="s">
        <v>2966</v>
      </c>
      <c r="C7" s="17" t="s">
        <v>2960</v>
      </c>
      <c r="D7" s="17" t="s">
        <v>2967</v>
      </c>
      <c r="E7" s="17" t="s">
        <v>2968</v>
      </c>
      <c r="F7" s="17" t="s">
        <v>2969</v>
      </c>
      <c r="G7" s="17" t="s">
        <v>2970</v>
      </c>
      <c r="H7" s="17" t="s">
        <v>2971</v>
      </c>
      <c r="I7" s="51" t="s">
        <v>4</v>
      </c>
    </row>
    <row r="8" spans="1:9" ht="43.5" x14ac:dyDescent="0.35">
      <c r="A8" s="17" t="s">
        <v>77</v>
      </c>
      <c r="B8" s="17" t="s">
        <v>2972</v>
      </c>
      <c r="C8" s="17" t="s">
        <v>2960</v>
      </c>
      <c r="D8" s="17" t="s">
        <v>2973</v>
      </c>
      <c r="E8" s="17" t="s">
        <v>2974</v>
      </c>
      <c r="F8" s="17" t="s">
        <v>2975</v>
      </c>
      <c r="G8" s="17" t="s">
        <v>2976</v>
      </c>
      <c r="H8" s="17" t="s">
        <v>2977</v>
      </c>
      <c r="I8" s="51" t="s">
        <v>4</v>
      </c>
    </row>
    <row r="9" spans="1:9" ht="43.5" x14ac:dyDescent="0.35">
      <c r="A9" s="17" t="s">
        <v>83</v>
      </c>
      <c r="B9" s="17" t="s">
        <v>2978</v>
      </c>
      <c r="C9" s="17" t="s">
        <v>2960</v>
      </c>
      <c r="D9" s="17" t="s">
        <v>2979</v>
      </c>
      <c r="E9" s="17" t="s">
        <v>2980</v>
      </c>
      <c r="F9" s="17" t="s">
        <v>2981</v>
      </c>
      <c r="G9" s="17" t="s">
        <v>2982</v>
      </c>
      <c r="H9" s="17" t="s">
        <v>2983</v>
      </c>
      <c r="I9" s="51" t="s">
        <v>4</v>
      </c>
    </row>
    <row r="10" spans="1:9" ht="43.5" x14ac:dyDescent="0.35">
      <c r="A10" s="17" t="s">
        <v>88</v>
      </c>
      <c r="B10" s="17" t="s">
        <v>2984</v>
      </c>
      <c r="C10" s="17" t="s">
        <v>2960</v>
      </c>
      <c r="D10" s="17" t="s">
        <v>2985</v>
      </c>
      <c r="E10" s="17" t="s">
        <v>2986</v>
      </c>
      <c r="F10" s="17" t="s">
        <v>2987</v>
      </c>
      <c r="G10" s="17" t="s">
        <v>2988</v>
      </c>
      <c r="H10" s="17" t="s">
        <v>2989</v>
      </c>
      <c r="I10" s="51" t="s">
        <v>4</v>
      </c>
    </row>
    <row r="11" spans="1:9" ht="43.5" x14ac:dyDescent="0.35">
      <c r="A11" s="17" t="s">
        <v>233</v>
      </c>
      <c r="B11" s="17" t="s">
        <v>2990</v>
      </c>
      <c r="C11" s="17" t="s">
        <v>2991</v>
      </c>
      <c r="D11" s="17" t="s">
        <v>2992</v>
      </c>
      <c r="E11" s="17" t="s">
        <v>2993</v>
      </c>
      <c r="F11" s="17" t="s">
        <v>2994</v>
      </c>
      <c r="G11" s="17" t="s">
        <v>2995</v>
      </c>
      <c r="H11" s="17" t="s">
        <v>2996</v>
      </c>
      <c r="I11" s="51" t="s">
        <v>4</v>
      </c>
    </row>
    <row r="12" spans="1:9" ht="43.5" x14ac:dyDescent="0.35">
      <c r="A12" s="17" t="s">
        <v>93</v>
      </c>
      <c r="B12" s="17" t="s">
        <v>2997</v>
      </c>
      <c r="C12" s="17" t="s">
        <v>2991</v>
      </c>
      <c r="D12" s="17" t="s">
        <v>2998</v>
      </c>
      <c r="E12" s="17" t="s">
        <v>2999</v>
      </c>
      <c r="F12" s="17" t="s">
        <v>3000</v>
      </c>
      <c r="G12" s="17" t="s">
        <v>3001</v>
      </c>
      <c r="H12" s="17" t="s">
        <v>3002</v>
      </c>
      <c r="I12" s="51" t="s">
        <v>4</v>
      </c>
    </row>
    <row r="13" spans="1:9" ht="29" x14ac:dyDescent="0.35">
      <c r="A13" s="17" t="s">
        <v>98</v>
      </c>
      <c r="B13" s="17" t="s">
        <v>3003</v>
      </c>
      <c r="C13" s="17" t="s">
        <v>2991</v>
      </c>
      <c r="D13" s="17" t="s">
        <v>3004</v>
      </c>
      <c r="E13" s="17" t="s">
        <v>3005</v>
      </c>
      <c r="F13" s="17" t="s">
        <v>3006</v>
      </c>
      <c r="G13" s="17" t="s">
        <v>3007</v>
      </c>
      <c r="H13" s="17" t="s">
        <v>3008</v>
      </c>
      <c r="I13" s="51" t="s">
        <v>4</v>
      </c>
    </row>
    <row r="14" spans="1:9" ht="43.5" x14ac:dyDescent="0.35">
      <c r="A14" s="17" t="s">
        <v>105</v>
      </c>
      <c r="B14" s="17" t="s">
        <v>3009</v>
      </c>
      <c r="C14" s="17" t="s">
        <v>2991</v>
      </c>
      <c r="D14" s="17" t="s">
        <v>3010</v>
      </c>
      <c r="E14" s="17" t="s">
        <v>3011</v>
      </c>
      <c r="F14" s="17" t="s">
        <v>3012</v>
      </c>
      <c r="G14" s="17" t="s">
        <v>3013</v>
      </c>
      <c r="H14" s="17" t="s">
        <v>3014</v>
      </c>
      <c r="I14" s="51" t="s">
        <v>4</v>
      </c>
    </row>
    <row r="15" spans="1:9" ht="43.5" x14ac:dyDescent="0.35">
      <c r="A15" s="17" t="s">
        <v>113</v>
      </c>
      <c r="B15" s="17" t="s">
        <v>3015</v>
      </c>
      <c r="C15" s="17" t="s">
        <v>3016</v>
      </c>
      <c r="D15" s="17" t="s">
        <v>3017</v>
      </c>
      <c r="E15" s="17" t="s">
        <v>3018</v>
      </c>
      <c r="F15" s="17" t="s">
        <v>3019</v>
      </c>
      <c r="G15" s="17" t="s">
        <v>3020</v>
      </c>
      <c r="H15" s="17" t="s">
        <v>3021</v>
      </c>
      <c r="I15" s="51" t="s">
        <v>4</v>
      </c>
    </row>
    <row r="16" spans="1:9" ht="87" x14ac:dyDescent="0.35">
      <c r="A16" s="17" t="s">
        <v>119</v>
      </c>
      <c r="B16" s="17" t="s">
        <v>3022</v>
      </c>
      <c r="C16" s="17" t="s">
        <v>2960</v>
      </c>
      <c r="D16" s="17" t="s">
        <v>3023</v>
      </c>
      <c r="E16" s="17" t="s">
        <v>3024</v>
      </c>
      <c r="F16" s="17" t="s">
        <v>3025</v>
      </c>
      <c r="G16" s="17" t="s">
        <v>3026</v>
      </c>
      <c r="H16" s="17" t="s">
        <v>3027</v>
      </c>
      <c r="I16" s="51" t="s">
        <v>4</v>
      </c>
    </row>
    <row r="17" spans="1:9" ht="58" x14ac:dyDescent="0.35">
      <c r="A17" s="17" t="s">
        <v>125</v>
      </c>
      <c r="B17" s="17" t="s">
        <v>3028</v>
      </c>
      <c r="C17" s="17" t="s">
        <v>2960</v>
      </c>
      <c r="D17" s="17" t="s">
        <v>3029</v>
      </c>
      <c r="E17" s="17" t="s">
        <v>3030</v>
      </c>
      <c r="F17" s="17" t="s">
        <v>3031</v>
      </c>
      <c r="G17" s="17" t="s">
        <v>3032</v>
      </c>
      <c r="H17" s="17" t="s">
        <v>3033</v>
      </c>
      <c r="I17" s="51" t="s">
        <v>4</v>
      </c>
    </row>
    <row r="18" spans="1:9" ht="58" x14ac:dyDescent="0.35">
      <c r="A18" s="17" t="s">
        <v>132</v>
      </c>
      <c r="B18" s="17" t="s">
        <v>3034</v>
      </c>
      <c r="C18" s="17" t="s">
        <v>2960</v>
      </c>
      <c r="D18" s="17" t="s">
        <v>3023</v>
      </c>
      <c r="E18" s="17" t="s">
        <v>3035</v>
      </c>
      <c r="F18" s="17" t="s">
        <v>3036</v>
      </c>
      <c r="G18" s="17" t="s">
        <v>3037</v>
      </c>
      <c r="H18" s="17" t="s">
        <v>3038</v>
      </c>
      <c r="I18" s="51" t="s">
        <v>4</v>
      </c>
    </row>
    <row r="19" spans="1:9" ht="43.5" x14ac:dyDescent="0.35">
      <c r="A19" s="17" t="s">
        <v>138</v>
      </c>
      <c r="B19" s="17" t="s">
        <v>3039</v>
      </c>
      <c r="C19" s="17" t="s">
        <v>2960</v>
      </c>
      <c r="D19" s="17" t="s">
        <v>3023</v>
      </c>
      <c r="E19" s="17" t="s">
        <v>3040</v>
      </c>
      <c r="F19" s="17" t="s">
        <v>3041</v>
      </c>
      <c r="G19" s="17" t="s">
        <v>3042</v>
      </c>
      <c r="H19" s="17" t="s">
        <v>3043</v>
      </c>
      <c r="I19" s="51" t="s">
        <v>4</v>
      </c>
    </row>
    <row r="20" spans="1:9" ht="58" x14ac:dyDescent="0.35">
      <c r="A20" s="17" t="s">
        <v>144</v>
      </c>
      <c r="B20" s="17" t="s">
        <v>3044</v>
      </c>
      <c r="C20" s="17" t="s">
        <v>2960</v>
      </c>
      <c r="D20" s="17" t="s">
        <v>3045</v>
      </c>
      <c r="E20" s="17" t="s">
        <v>3046</v>
      </c>
      <c r="F20" s="17" t="s">
        <v>3047</v>
      </c>
      <c r="G20" s="17" t="s">
        <v>3048</v>
      </c>
      <c r="H20" s="17" t="s">
        <v>3049</v>
      </c>
      <c r="I20" s="51" t="s">
        <v>4</v>
      </c>
    </row>
    <row r="21" spans="1:9" ht="43.5" x14ac:dyDescent="0.35">
      <c r="A21" s="17" t="s">
        <v>150</v>
      </c>
      <c r="B21" s="17" t="s">
        <v>3050</v>
      </c>
      <c r="C21" s="17" t="s">
        <v>2960</v>
      </c>
      <c r="D21" s="17" t="s">
        <v>3051</v>
      </c>
      <c r="E21" s="17" t="s">
        <v>3052</v>
      </c>
      <c r="F21" s="17" t="s">
        <v>3053</v>
      </c>
      <c r="G21" s="17" t="s">
        <v>3054</v>
      </c>
      <c r="H21" s="17" t="s">
        <v>3055</v>
      </c>
      <c r="I21" s="51" t="s">
        <v>4</v>
      </c>
    </row>
    <row r="22" spans="1:9" ht="43.5" x14ac:dyDescent="0.35">
      <c r="A22" s="17" t="s">
        <v>157</v>
      </c>
      <c r="B22" s="17" t="s">
        <v>3056</v>
      </c>
      <c r="C22" s="17" t="s">
        <v>2960</v>
      </c>
      <c r="D22" s="17" t="s">
        <v>3057</v>
      </c>
      <c r="E22" s="17" t="s">
        <v>3058</v>
      </c>
      <c r="F22" s="17" t="s">
        <v>3059</v>
      </c>
      <c r="G22" s="17" t="s">
        <v>3060</v>
      </c>
      <c r="H22" s="17" t="s">
        <v>3061</v>
      </c>
      <c r="I22" s="51" t="s">
        <v>4</v>
      </c>
    </row>
    <row r="23" spans="1:9" ht="43.5" x14ac:dyDescent="0.35">
      <c r="A23" s="17" t="s">
        <v>163</v>
      </c>
      <c r="B23" s="17" t="s">
        <v>3062</v>
      </c>
      <c r="C23" s="17" t="s">
        <v>2960</v>
      </c>
      <c r="D23" s="17" t="s">
        <v>3063</v>
      </c>
      <c r="E23" s="17" t="s">
        <v>3064</v>
      </c>
      <c r="F23" s="17" t="s">
        <v>3065</v>
      </c>
      <c r="G23" s="17" t="s">
        <v>3066</v>
      </c>
      <c r="H23" s="17" t="s">
        <v>3067</v>
      </c>
      <c r="I23" s="51" t="s">
        <v>4</v>
      </c>
    </row>
    <row r="24" spans="1:9" ht="29" x14ac:dyDescent="0.35">
      <c r="A24" s="17" t="s">
        <v>299</v>
      </c>
      <c r="B24" s="17" t="s">
        <v>3068</v>
      </c>
      <c r="C24" s="17" t="s">
        <v>3016</v>
      </c>
      <c r="D24" s="17" t="s">
        <v>3069</v>
      </c>
      <c r="E24" s="17" t="s">
        <v>3070</v>
      </c>
      <c r="F24" s="17" t="s">
        <v>3071</v>
      </c>
      <c r="G24" s="17" t="s">
        <v>3072</v>
      </c>
      <c r="H24" s="17" t="s">
        <v>3073</v>
      </c>
      <c r="I24" s="51" t="s">
        <v>4</v>
      </c>
    </row>
    <row r="25" spans="1:9" ht="29" x14ac:dyDescent="0.35">
      <c r="A25" s="17" t="s">
        <v>306</v>
      </c>
      <c r="B25" s="17" t="s">
        <v>3074</v>
      </c>
      <c r="C25" s="17" t="s">
        <v>3016</v>
      </c>
      <c r="D25" s="17" t="s">
        <v>3069</v>
      </c>
      <c r="E25" s="17" t="s">
        <v>3075</v>
      </c>
      <c r="F25" s="17" t="s">
        <v>3076</v>
      </c>
      <c r="G25" s="17" t="s">
        <v>3077</v>
      </c>
      <c r="H25" s="17" t="s">
        <v>3078</v>
      </c>
      <c r="I25" s="51" t="s">
        <v>4</v>
      </c>
    </row>
    <row r="26" spans="1:9" ht="58" x14ac:dyDescent="0.35">
      <c r="A26" s="17" t="s">
        <v>312</v>
      </c>
      <c r="B26" s="17" t="s">
        <v>3079</v>
      </c>
      <c r="C26" s="17" t="s">
        <v>3016</v>
      </c>
      <c r="D26" s="17" t="s">
        <v>3080</v>
      </c>
      <c r="E26" s="17" t="s">
        <v>3081</v>
      </c>
      <c r="F26" s="17" t="s">
        <v>3082</v>
      </c>
      <c r="G26" s="17" t="s">
        <v>3083</v>
      </c>
      <c r="H26" s="17" t="s">
        <v>3084</v>
      </c>
      <c r="I26" s="51" t="s">
        <v>4</v>
      </c>
    </row>
    <row r="27" spans="1:9" ht="101.5" x14ac:dyDescent="0.35">
      <c r="A27" s="17" t="s">
        <v>465</v>
      </c>
      <c r="B27" s="32" t="s">
        <v>3085</v>
      </c>
      <c r="C27" s="32" t="s">
        <v>3086</v>
      </c>
      <c r="D27" s="32" t="s">
        <v>3087</v>
      </c>
      <c r="E27" s="32" t="s">
        <v>3088</v>
      </c>
      <c r="F27" s="32" t="s">
        <v>3089</v>
      </c>
      <c r="G27" s="32" t="s">
        <v>3090</v>
      </c>
      <c r="H27" s="32" t="s">
        <v>3091</v>
      </c>
      <c r="I27" s="51" t="s">
        <v>4</v>
      </c>
    </row>
    <row r="28" spans="1:9" ht="58" x14ac:dyDescent="0.35">
      <c r="A28" s="17" t="s">
        <v>471</v>
      </c>
      <c r="B28" s="32" t="s">
        <v>3092</v>
      </c>
      <c r="C28" s="32" t="s">
        <v>3086</v>
      </c>
      <c r="D28" s="32" t="s">
        <v>3093</v>
      </c>
      <c r="E28" s="32" t="s">
        <v>3094</v>
      </c>
      <c r="F28" s="32" t="s">
        <v>3095</v>
      </c>
      <c r="G28" s="32" t="s">
        <v>3096</v>
      </c>
      <c r="H28" s="32" t="s">
        <v>3097</v>
      </c>
      <c r="I28" s="51" t="s">
        <v>4</v>
      </c>
    </row>
    <row r="29" spans="1:9" ht="101.5" x14ac:dyDescent="0.35">
      <c r="A29" s="17" t="s">
        <v>474</v>
      </c>
      <c r="B29" s="32" t="s">
        <v>3098</v>
      </c>
      <c r="C29" s="32" t="s">
        <v>3086</v>
      </c>
      <c r="D29" s="32" t="s">
        <v>3099</v>
      </c>
      <c r="E29" s="32" t="s">
        <v>3100</v>
      </c>
      <c r="F29" s="32" t="s">
        <v>3101</v>
      </c>
      <c r="G29" s="32" t="s">
        <v>3102</v>
      </c>
      <c r="H29" s="32" t="s">
        <v>3103</v>
      </c>
      <c r="I29" s="51" t="s">
        <v>4</v>
      </c>
    </row>
    <row r="30" spans="1:9" ht="43.5" x14ac:dyDescent="0.35">
      <c r="A30" s="17" t="s">
        <v>476</v>
      </c>
      <c r="B30" s="32" t="s">
        <v>3104</v>
      </c>
      <c r="C30" s="32" t="s">
        <v>3086</v>
      </c>
      <c r="D30" s="32" t="s">
        <v>3105</v>
      </c>
      <c r="E30" s="32" t="s">
        <v>3106</v>
      </c>
      <c r="F30" s="32" t="s">
        <v>3107</v>
      </c>
      <c r="G30" s="32" t="s">
        <v>3108</v>
      </c>
      <c r="H30" s="32" t="s">
        <v>3109</v>
      </c>
      <c r="I30" s="51" t="s">
        <v>4</v>
      </c>
    </row>
    <row r="31" spans="1:9" ht="87" x14ac:dyDescent="0.35">
      <c r="A31" s="17" t="s">
        <v>754</v>
      </c>
      <c r="B31" s="32" t="s">
        <v>3110</v>
      </c>
      <c r="C31" s="32" t="s">
        <v>3086</v>
      </c>
      <c r="D31" s="32" t="s">
        <v>3111</v>
      </c>
      <c r="E31" s="32" t="s">
        <v>3112</v>
      </c>
      <c r="F31" s="32" t="s">
        <v>3113</v>
      </c>
      <c r="G31" s="32" t="s">
        <v>3114</v>
      </c>
      <c r="H31" s="32" t="s">
        <v>3115</v>
      </c>
      <c r="I31" s="51" t="s">
        <v>4</v>
      </c>
    </row>
    <row r="32" spans="1:9" ht="43.5" x14ac:dyDescent="0.35">
      <c r="A32" s="17" t="s">
        <v>757</v>
      </c>
      <c r="B32" s="32" t="s">
        <v>3116</v>
      </c>
      <c r="C32" s="32" t="s">
        <v>3086</v>
      </c>
      <c r="D32" s="32" t="s">
        <v>3105</v>
      </c>
      <c r="E32" s="32" t="s">
        <v>3117</v>
      </c>
      <c r="F32" s="32" t="s">
        <v>3118</v>
      </c>
      <c r="G32" s="32" t="s">
        <v>3108</v>
      </c>
      <c r="H32" s="32" t="s">
        <v>3119</v>
      </c>
      <c r="I32" s="51" t="s">
        <v>4</v>
      </c>
    </row>
  </sheetData>
  <mergeCells count="5">
    <mergeCell ref="A1:A3"/>
    <mergeCell ref="C1:D1"/>
    <mergeCell ref="E1:E3"/>
    <mergeCell ref="C2:D2"/>
    <mergeCell ref="C3:D3"/>
  </mergeCells>
  <conditionalFormatting sqref="F1">
    <cfRule type="containsText" dxfId="39" priority="6" operator="containsText" text="Passed">
      <formula>NOT(ISERROR(SEARCH(("Passed"),(F1))))</formula>
    </cfRule>
    <cfRule type="containsText" dxfId="38" priority="7" operator="containsText" text="Failed">
      <formula>NOT(ISERROR(SEARCH(("Failed"),(F1))))</formula>
    </cfRule>
    <cfRule type="containsText" dxfId="37" priority="8" operator="containsText" text="Incomplete">
      <formula>NOT(ISERROR(SEARCH(("Incomplete"),(F1))))</formula>
    </cfRule>
  </conditionalFormatting>
  <conditionalFormatting sqref="I6:I32">
    <cfRule type="containsText" dxfId="36" priority="1" operator="containsText" text="Passed">
      <formula>NOT(ISERROR(SEARCH(("Passed"),(I6))))</formula>
    </cfRule>
    <cfRule type="containsText" dxfId="35" priority="2" operator="containsText" text="Failed">
      <formula>NOT(ISERROR(SEARCH(("Failed"),(I6))))</formula>
    </cfRule>
    <cfRule type="containsText" dxfId="34" priority="3" operator="containsText" text="Bug ok">
      <formula>NOT(ISERROR(SEARCH(("Bug ok"),(I6))))</formula>
    </cfRule>
    <cfRule type="containsText" dxfId="33" priority="4" operator="containsText" text="Blocked">
      <formula>NOT(ISERROR(SEARCH(("Blocked"),(I6))))</formula>
    </cfRule>
    <cfRule type="containsText" dxfId="32" priority="5" operator="containsText" text="Cannot run">
      <formula>NOT(ISERROR(SEARCH(("Cannot run"),(J6))))</formula>
    </cfRule>
  </conditionalFormatting>
  <dataValidations count="1">
    <dataValidation type="list" allowBlank="1" showErrorMessage="1" sqref="I6:I32" xr:uid="{A8C4AC3F-80FE-496E-836D-F9BC7E583C43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2290-272E-42F5-98E2-17EE9B1A5552}">
  <dimension ref="A1:I26"/>
  <sheetViews>
    <sheetView workbookViewId="0">
      <selection activeCell="G3" sqref="G3"/>
    </sheetView>
  </sheetViews>
  <sheetFormatPr defaultRowHeight="14.5" x14ac:dyDescent="0.35"/>
  <cols>
    <col min="1" max="1" width="38.7265625" customWidth="1"/>
    <col min="2" max="9" width="27.54296875" customWidth="1"/>
  </cols>
  <sheetData>
    <row r="1" spans="1:9" ht="15.5" x14ac:dyDescent="0.35">
      <c r="A1" s="76"/>
      <c r="B1" s="35" t="s">
        <v>2</v>
      </c>
      <c r="C1" s="103" t="s">
        <v>3120</v>
      </c>
      <c r="D1" s="101"/>
      <c r="E1" s="87"/>
      <c r="F1" s="18" t="s">
        <v>52</v>
      </c>
      <c r="G1" s="10" t="s">
        <v>4</v>
      </c>
      <c r="H1" s="20" t="s">
        <v>5</v>
      </c>
      <c r="I1" s="21" t="s">
        <v>6</v>
      </c>
    </row>
    <row r="2" spans="1:9" ht="18" x14ac:dyDescent="0.35">
      <c r="A2" s="76"/>
      <c r="B2" s="35" t="s">
        <v>53</v>
      </c>
      <c r="C2" s="104" t="s">
        <v>54</v>
      </c>
      <c r="D2" s="80"/>
      <c r="E2" s="82"/>
      <c r="F2" s="22">
        <f>COUNTIF(A1:A181,"TC-??")</f>
        <v>14</v>
      </c>
      <c r="G2" s="14">
        <f>COUNTIF(I4:I844,"Đạt")</f>
        <v>14</v>
      </c>
      <c r="H2" s="6">
        <f>COUNTIF(F4:F843,"Không Đạt")</f>
        <v>0</v>
      </c>
      <c r="I2" s="6">
        <f>COUNTIF(F4:F843,"Chưa Xong")</f>
        <v>0</v>
      </c>
    </row>
    <row r="3" spans="1:9" ht="18" x14ac:dyDescent="0.35">
      <c r="A3" s="76"/>
      <c r="B3" s="35" t="s">
        <v>55</v>
      </c>
      <c r="C3" s="105">
        <v>46016</v>
      </c>
      <c r="D3" s="80"/>
      <c r="E3" s="83"/>
      <c r="F3" s="23">
        <f>SUM(G3+H3+I3)</f>
        <v>1</v>
      </c>
      <c r="G3" s="16">
        <f>G2/F2</f>
        <v>1</v>
      </c>
      <c r="H3" s="24">
        <f>H2/F2</f>
        <v>0</v>
      </c>
      <c r="I3" s="23">
        <f>I2/F2</f>
        <v>0</v>
      </c>
    </row>
    <row r="5" spans="1:9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9" ht="43.5" x14ac:dyDescent="0.35">
      <c r="A6" s="17" t="s">
        <v>65</v>
      </c>
      <c r="B6" s="17" t="s">
        <v>3121</v>
      </c>
      <c r="C6" s="17" t="s">
        <v>3122</v>
      </c>
      <c r="D6" s="17" t="s">
        <v>3123</v>
      </c>
      <c r="E6" s="17" t="s">
        <v>3124</v>
      </c>
      <c r="F6" s="17" t="s">
        <v>3125</v>
      </c>
      <c r="G6" s="33" t="s">
        <v>3126</v>
      </c>
      <c r="H6" s="17" t="s">
        <v>3127</v>
      </c>
      <c r="I6" s="51" t="s">
        <v>4</v>
      </c>
    </row>
    <row r="7" spans="1:9" ht="43.5" x14ac:dyDescent="0.35">
      <c r="A7" s="17" t="s">
        <v>72</v>
      </c>
      <c r="B7" s="17" t="s">
        <v>3121</v>
      </c>
      <c r="C7" s="17" t="s">
        <v>3122</v>
      </c>
      <c r="D7" s="17" t="s">
        <v>3128</v>
      </c>
      <c r="E7" s="17" t="s">
        <v>3129</v>
      </c>
      <c r="F7" s="17" t="s">
        <v>3130</v>
      </c>
      <c r="G7" s="17" t="s">
        <v>3131</v>
      </c>
      <c r="H7" s="17" t="s">
        <v>3132</v>
      </c>
      <c r="I7" s="51" t="s">
        <v>4</v>
      </c>
    </row>
    <row r="8" spans="1:9" ht="29" x14ac:dyDescent="0.35">
      <c r="A8" s="17" t="s">
        <v>77</v>
      </c>
      <c r="B8" s="17" t="s">
        <v>3133</v>
      </c>
      <c r="C8" s="17" t="s">
        <v>3122</v>
      </c>
      <c r="D8" s="17" t="s">
        <v>3134</v>
      </c>
      <c r="E8" s="17" t="s">
        <v>3135</v>
      </c>
      <c r="F8" s="17" t="s">
        <v>3136</v>
      </c>
      <c r="G8" s="33" t="s">
        <v>3137</v>
      </c>
      <c r="H8" s="17" t="s">
        <v>3138</v>
      </c>
      <c r="I8" s="51" t="s">
        <v>4</v>
      </c>
    </row>
    <row r="9" spans="1:9" ht="29" x14ac:dyDescent="0.35">
      <c r="A9" s="17" t="s">
        <v>83</v>
      </c>
      <c r="B9" s="17" t="s">
        <v>3133</v>
      </c>
      <c r="C9" s="17" t="s">
        <v>3122</v>
      </c>
      <c r="D9" s="17" t="s">
        <v>3139</v>
      </c>
      <c r="E9" s="17" t="s">
        <v>3140</v>
      </c>
      <c r="F9" s="17" t="s">
        <v>3141</v>
      </c>
      <c r="G9" s="33" t="s">
        <v>3142</v>
      </c>
      <c r="H9" s="17" t="s">
        <v>3143</v>
      </c>
      <c r="I9" s="51" t="s">
        <v>4</v>
      </c>
    </row>
    <row r="10" spans="1:9" ht="43.5" x14ac:dyDescent="0.35">
      <c r="A10" s="17" t="s">
        <v>88</v>
      </c>
      <c r="B10" s="17" t="s">
        <v>3144</v>
      </c>
      <c r="C10" s="17" t="s">
        <v>3122</v>
      </c>
      <c r="D10" s="17" t="s">
        <v>3145</v>
      </c>
      <c r="E10" s="17" t="s">
        <v>3146</v>
      </c>
      <c r="F10" s="17" t="s">
        <v>3147</v>
      </c>
      <c r="G10" s="17" t="s">
        <v>3148</v>
      </c>
      <c r="H10" s="17" t="s">
        <v>3149</v>
      </c>
      <c r="I10" s="51" t="s">
        <v>4</v>
      </c>
    </row>
    <row r="11" spans="1:9" ht="43.5" x14ac:dyDescent="0.35">
      <c r="A11" s="17" t="s">
        <v>233</v>
      </c>
      <c r="B11" s="17" t="s">
        <v>3150</v>
      </c>
      <c r="C11" s="17" t="s">
        <v>3122</v>
      </c>
      <c r="D11" s="17" t="s">
        <v>3151</v>
      </c>
      <c r="E11" s="17" t="s">
        <v>3152</v>
      </c>
      <c r="F11" s="17" t="s">
        <v>3153</v>
      </c>
      <c r="G11" s="33" t="s">
        <v>3154</v>
      </c>
      <c r="H11" s="17" t="s">
        <v>3155</v>
      </c>
      <c r="I11" s="51" t="s">
        <v>4</v>
      </c>
    </row>
    <row r="12" spans="1:9" ht="29" x14ac:dyDescent="0.35">
      <c r="A12" s="17" t="s">
        <v>93</v>
      </c>
      <c r="B12" s="17" t="s">
        <v>3150</v>
      </c>
      <c r="C12" s="17" t="s">
        <v>3122</v>
      </c>
      <c r="D12" s="17" t="s">
        <v>3156</v>
      </c>
      <c r="E12" s="17" t="s">
        <v>3157</v>
      </c>
      <c r="F12" s="17" t="s">
        <v>3158</v>
      </c>
      <c r="G12" s="17" t="s">
        <v>3159</v>
      </c>
      <c r="H12" s="17" t="s">
        <v>3160</v>
      </c>
      <c r="I12" s="51" t="s">
        <v>4</v>
      </c>
    </row>
    <row r="13" spans="1:9" ht="29" x14ac:dyDescent="0.35">
      <c r="A13" s="17" t="s">
        <v>98</v>
      </c>
      <c r="B13" s="17" t="s">
        <v>3161</v>
      </c>
      <c r="C13" s="17" t="s">
        <v>3122</v>
      </c>
      <c r="D13" s="17" t="s">
        <v>3162</v>
      </c>
      <c r="E13" s="17" t="s">
        <v>3163</v>
      </c>
      <c r="F13" s="17" t="s">
        <v>3164</v>
      </c>
      <c r="G13" s="33" t="s">
        <v>3165</v>
      </c>
      <c r="H13" s="17" t="s">
        <v>3166</v>
      </c>
      <c r="I13" s="51" t="s">
        <v>4</v>
      </c>
    </row>
    <row r="14" spans="1:9" ht="29" x14ac:dyDescent="0.35">
      <c r="A14" s="17" t="s">
        <v>105</v>
      </c>
      <c r="B14" s="17" t="s">
        <v>3161</v>
      </c>
      <c r="C14" s="17" t="s">
        <v>3122</v>
      </c>
      <c r="D14" s="17" t="s">
        <v>3167</v>
      </c>
      <c r="E14" s="17" t="s">
        <v>3168</v>
      </c>
      <c r="F14" s="17" t="s">
        <v>3169</v>
      </c>
      <c r="G14" s="33" t="s">
        <v>3170</v>
      </c>
      <c r="H14" s="17" t="s">
        <v>3171</v>
      </c>
      <c r="I14" s="51" t="s">
        <v>4</v>
      </c>
    </row>
    <row r="15" spans="1:9" ht="29" x14ac:dyDescent="0.35">
      <c r="A15" s="17" t="s">
        <v>113</v>
      </c>
      <c r="B15" s="17" t="s">
        <v>3172</v>
      </c>
      <c r="C15" s="17" t="s">
        <v>3122</v>
      </c>
      <c r="D15" s="17" t="s">
        <v>3173</v>
      </c>
      <c r="E15" s="17" t="s">
        <v>3152</v>
      </c>
      <c r="F15" s="17" t="s">
        <v>3174</v>
      </c>
      <c r="G15" s="17" t="s">
        <v>3175</v>
      </c>
      <c r="H15" s="17" t="s">
        <v>3176</v>
      </c>
      <c r="I15" s="51" t="s">
        <v>4</v>
      </c>
    </row>
    <row r="16" spans="1:9" ht="29" x14ac:dyDescent="0.35">
      <c r="A16" s="17" t="s">
        <v>119</v>
      </c>
      <c r="B16" s="17" t="s">
        <v>3121</v>
      </c>
      <c r="C16" s="17" t="s">
        <v>3122</v>
      </c>
      <c r="D16" s="17" t="s">
        <v>3177</v>
      </c>
      <c r="E16" s="17" t="s">
        <v>3178</v>
      </c>
      <c r="F16" s="17" t="s">
        <v>3179</v>
      </c>
      <c r="G16" s="33" t="s">
        <v>3180</v>
      </c>
      <c r="H16" s="17" t="s">
        <v>3181</v>
      </c>
      <c r="I16" s="51" t="s">
        <v>4</v>
      </c>
    </row>
    <row r="17" spans="1:9" ht="29" x14ac:dyDescent="0.35">
      <c r="A17" s="17" t="s">
        <v>125</v>
      </c>
      <c r="B17" s="17" t="s">
        <v>3182</v>
      </c>
      <c r="C17" s="17" t="s">
        <v>3122</v>
      </c>
      <c r="D17" s="17" t="s">
        <v>2275</v>
      </c>
      <c r="E17" s="17" t="s">
        <v>3183</v>
      </c>
      <c r="F17" s="17" t="s">
        <v>3184</v>
      </c>
      <c r="G17" s="17" t="s">
        <v>3185</v>
      </c>
      <c r="H17" s="17" t="s">
        <v>3186</v>
      </c>
      <c r="I17" s="51" t="s">
        <v>4</v>
      </c>
    </row>
    <row r="18" spans="1:9" ht="72.5" x14ac:dyDescent="0.35">
      <c r="A18" s="17" t="s">
        <v>132</v>
      </c>
      <c r="B18" s="17" t="s">
        <v>3187</v>
      </c>
      <c r="C18" s="17" t="s">
        <v>3122</v>
      </c>
      <c r="D18" s="17" t="s">
        <v>46</v>
      </c>
      <c r="E18" s="17" t="s">
        <v>3188</v>
      </c>
      <c r="F18" s="17" t="s">
        <v>3189</v>
      </c>
      <c r="G18" s="33" t="s">
        <v>3190</v>
      </c>
      <c r="H18" s="17" t="s">
        <v>3191</v>
      </c>
      <c r="I18" s="51" t="s">
        <v>4</v>
      </c>
    </row>
    <row r="19" spans="1:9" ht="29" x14ac:dyDescent="0.35">
      <c r="A19" s="17" t="s">
        <v>138</v>
      </c>
      <c r="B19" s="17" t="s">
        <v>3121</v>
      </c>
      <c r="C19" s="17" t="s">
        <v>3122</v>
      </c>
      <c r="D19" s="17" t="s">
        <v>3192</v>
      </c>
      <c r="E19" s="17" t="s">
        <v>3193</v>
      </c>
      <c r="F19" s="17" t="s">
        <v>2697</v>
      </c>
      <c r="G19" s="17" t="s">
        <v>3194</v>
      </c>
      <c r="H19" s="17" t="s">
        <v>3195</v>
      </c>
      <c r="I19" s="51" t="s">
        <v>4</v>
      </c>
    </row>
    <row r="20" spans="1:9" x14ac:dyDescent="0.35">
      <c r="A20" s="17"/>
      <c r="B20" s="17"/>
      <c r="C20" s="17"/>
      <c r="D20" s="17"/>
      <c r="E20" s="34"/>
      <c r="F20" s="17"/>
      <c r="G20" s="17"/>
      <c r="H20" s="17"/>
    </row>
    <row r="21" spans="1:9" x14ac:dyDescent="0.35">
      <c r="A21" s="17"/>
      <c r="B21" s="17"/>
      <c r="C21" s="17"/>
      <c r="D21" s="17"/>
      <c r="E21" s="34"/>
      <c r="F21" s="17"/>
      <c r="G21" s="17"/>
      <c r="H21" s="17"/>
    </row>
    <row r="22" spans="1:9" x14ac:dyDescent="0.35">
      <c r="A22" s="17"/>
      <c r="B22" s="17"/>
      <c r="C22" s="17"/>
      <c r="D22" s="17"/>
      <c r="E22" s="34"/>
      <c r="F22" s="17"/>
      <c r="G22" s="17"/>
      <c r="H22" s="17"/>
    </row>
    <row r="23" spans="1:9" x14ac:dyDescent="0.35">
      <c r="A23" s="17"/>
      <c r="B23" s="17"/>
      <c r="C23" s="17"/>
      <c r="D23" s="17"/>
      <c r="E23" s="34"/>
      <c r="F23" s="17"/>
      <c r="G23" s="17"/>
      <c r="H23" s="17"/>
    </row>
    <row r="24" spans="1:9" x14ac:dyDescent="0.35">
      <c r="A24" s="17"/>
      <c r="B24" s="17"/>
      <c r="C24" s="17"/>
      <c r="D24" s="17"/>
      <c r="E24" s="17"/>
      <c r="F24" s="17"/>
      <c r="G24" s="17"/>
      <c r="H24" s="17"/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  <row r="26" spans="1:9" x14ac:dyDescent="0.35">
      <c r="A26" s="17"/>
      <c r="B26" s="17"/>
      <c r="C26" s="17"/>
      <c r="D26" s="17"/>
      <c r="E26" s="34"/>
      <c r="F26" s="17"/>
      <c r="G26" s="17"/>
      <c r="H26" s="17"/>
    </row>
  </sheetData>
  <mergeCells count="5">
    <mergeCell ref="A1:A3"/>
    <mergeCell ref="C1:D1"/>
    <mergeCell ref="E1:E3"/>
    <mergeCell ref="C2:D2"/>
    <mergeCell ref="C3:D3"/>
  </mergeCells>
  <conditionalFormatting sqref="F1">
    <cfRule type="containsText" dxfId="31" priority="6" operator="containsText" text="Passed">
      <formula>NOT(ISERROR(SEARCH(("Passed"),(F1))))</formula>
    </cfRule>
    <cfRule type="containsText" dxfId="30" priority="7" operator="containsText" text="Failed">
      <formula>NOT(ISERROR(SEARCH(("Failed"),(F1))))</formula>
    </cfRule>
    <cfRule type="containsText" dxfId="29" priority="8" operator="containsText" text="Incomplete">
      <formula>NOT(ISERROR(SEARCH(("Incomplete"),(F1))))</formula>
    </cfRule>
  </conditionalFormatting>
  <conditionalFormatting sqref="I6:I19">
    <cfRule type="containsText" dxfId="28" priority="1" operator="containsText" text="Passed">
      <formula>NOT(ISERROR(SEARCH(("Passed"),(I6))))</formula>
    </cfRule>
    <cfRule type="containsText" dxfId="27" priority="2" operator="containsText" text="Failed">
      <formula>NOT(ISERROR(SEARCH(("Failed"),(I6))))</formula>
    </cfRule>
    <cfRule type="containsText" dxfId="26" priority="3" operator="containsText" text="Bug ok">
      <formula>NOT(ISERROR(SEARCH(("Bug ok"),(I6))))</formula>
    </cfRule>
    <cfRule type="containsText" dxfId="25" priority="4" operator="containsText" text="Blocked">
      <formula>NOT(ISERROR(SEARCH(("Blocked"),(I6))))</formula>
    </cfRule>
    <cfRule type="containsText" dxfId="24" priority="5" operator="containsText" text="Cannot run">
      <formula>NOT(ISERROR(SEARCH(("Cannot run"),(J6))))</formula>
    </cfRule>
  </conditionalFormatting>
  <dataValidations count="1">
    <dataValidation type="list" allowBlank="1" showErrorMessage="1" sqref="I6:I19" xr:uid="{71CC3D0F-104F-469D-984D-7BDC1A3B2DD7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AB87-2B49-49D7-9039-70442C19D63B}">
  <dimension ref="A1:I37"/>
  <sheetViews>
    <sheetView workbookViewId="0">
      <selection activeCell="G3" sqref="G3"/>
    </sheetView>
  </sheetViews>
  <sheetFormatPr defaultRowHeight="14.5" x14ac:dyDescent="0.35"/>
  <cols>
    <col min="1" max="1" width="38.7265625" customWidth="1"/>
    <col min="2" max="7" width="27.7265625" customWidth="1"/>
    <col min="8" max="8" width="38.1796875" customWidth="1"/>
    <col min="9" max="9" width="27.7265625" customWidth="1"/>
  </cols>
  <sheetData>
    <row r="1" spans="1:9" ht="15.5" x14ac:dyDescent="0.35">
      <c r="A1" s="76"/>
      <c r="B1" s="35" t="s">
        <v>2</v>
      </c>
      <c r="C1" s="103" t="s">
        <v>3196</v>
      </c>
      <c r="D1" s="101"/>
      <c r="E1" s="87"/>
      <c r="F1" s="18" t="s">
        <v>52</v>
      </c>
      <c r="G1" s="10" t="s">
        <v>4</v>
      </c>
      <c r="H1" s="20" t="s">
        <v>5</v>
      </c>
      <c r="I1" s="21" t="s">
        <v>6</v>
      </c>
    </row>
    <row r="2" spans="1:9" ht="18" x14ac:dyDescent="0.35">
      <c r="A2" s="76"/>
      <c r="B2" s="35" t="s">
        <v>53</v>
      </c>
      <c r="C2" s="104" t="s">
        <v>54</v>
      </c>
      <c r="D2" s="80"/>
      <c r="E2" s="82"/>
      <c r="F2" s="22">
        <f>COUNTIF(A1:A181,"TC-??")</f>
        <v>13</v>
      </c>
      <c r="G2" s="14">
        <f>COUNTIF(I4:I844,"Đạt")</f>
        <v>13</v>
      </c>
      <c r="H2" s="6">
        <f>COUNTIF(F4:F843,"Không Đạt")</f>
        <v>0</v>
      </c>
      <c r="I2" s="6">
        <f>COUNTIF(F4:F843,"Chưa Xong")</f>
        <v>0</v>
      </c>
    </row>
    <row r="3" spans="1:9" ht="18" x14ac:dyDescent="0.35">
      <c r="A3" s="76"/>
      <c r="B3" s="35" t="s">
        <v>55</v>
      </c>
      <c r="C3" s="105">
        <v>46016</v>
      </c>
      <c r="D3" s="80"/>
      <c r="E3" s="83"/>
      <c r="F3" s="23">
        <f>SUM(G3+H3+I3)</f>
        <v>1</v>
      </c>
      <c r="G3" s="16">
        <f>G2/F2</f>
        <v>1</v>
      </c>
      <c r="H3" s="24">
        <f>H2/F2</f>
        <v>0</v>
      </c>
      <c r="I3" s="23">
        <f>I2/F2</f>
        <v>0</v>
      </c>
    </row>
    <row r="5" spans="1:9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9" ht="43.5" x14ac:dyDescent="0.35">
      <c r="A6" s="17" t="s">
        <v>65</v>
      </c>
      <c r="B6" s="17" t="s">
        <v>3197</v>
      </c>
      <c r="C6" s="17" t="s">
        <v>1814</v>
      </c>
      <c r="D6" s="17" t="s">
        <v>3198</v>
      </c>
      <c r="E6" s="17" t="s">
        <v>3199</v>
      </c>
      <c r="F6" s="17" t="s">
        <v>3200</v>
      </c>
      <c r="G6" s="17" t="s">
        <v>3201</v>
      </c>
      <c r="H6" s="17" t="s">
        <v>3202</v>
      </c>
      <c r="I6" s="51" t="s">
        <v>4</v>
      </c>
    </row>
    <row r="7" spans="1:9" ht="29" x14ac:dyDescent="0.35">
      <c r="A7" s="17" t="s">
        <v>72</v>
      </c>
      <c r="B7" s="17" t="s">
        <v>3203</v>
      </c>
      <c r="C7" s="17" t="s">
        <v>1814</v>
      </c>
      <c r="D7" s="17" t="s">
        <v>3204</v>
      </c>
      <c r="E7" s="17" t="s">
        <v>3205</v>
      </c>
      <c r="F7" s="17" t="s">
        <v>3206</v>
      </c>
      <c r="G7" s="17" t="s">
        <v>3207</v>
      </c>
      <c r="H7" s="17" t="s">
        <v>3208</v>
      </c>
      <c r="I7" s="51" t="s">
        <v>4</v>
      </c>
    </row>
    <row r="8" spans="1:9" ht="29" x14ac:dyDescent="0.35">
      <c r="A8" s="17" t="s">
        <v>77</v>
      </c>
      <c r="B8" s="17" t="s">
        <v>3209</v>
      </c>
      <c r="C8" s="17" t="s">
        <v>1814</v>
      </c>
      <c r="D8" s="17" t="s">
        <v>1826</v>
      </c>
      <c r="E8" s="17" t="s">
        <v>3210</v>
      </c>
      <c r="F8" s="17" t="s">
        <v>3211</v>
      </c>
      <c r="G8" s="17" t="s">
        <v>3212</v>
      </c>
      <c r="H8" s="17" t="s">
        <v>3213</v>
      </c>
      <c r="I8" s="51" t="s">
        <v>4</v>
      </c>
    </row>
    <row r="9" spans="1:9" ht="29" x14ac:dyDescent="0.35">
      <c r="A9" s="17" t="s">
        <v>83</v>
      </c>
      <c r="B9" s="17" t="s">
        <v>3214</v>
      </c>
      <c r="C9" s="17" t="s">
        <v>1814</v>
      </c>
      <c r="D9" s="17" t="s">
        <v>3215</v>
      </c>
      <c r="E9" s="17" t="s">
        <v>3216</v>
      </c>
      <c r="F9" s="17" t="s">
        <v>3217</v>
      </c>
      <c r="G9" s="17" t="s">
        <v>3218</v>
      </c>
      <c r="H9" s="17" t="s">
        <v>3219</v>
      </c>
      <c r="I9" s="51" t="s">
        <v>4</v>
      </c>
    </row>
    <row r="10" spans="1:9" ht="43.5" x14ac:dyDescent="0.35">
      <c r="A10" s="17" t="s">
        <v>88</v>
      </c>
      <c r="B10" s="17" t="s">
        <v>3220</v>
      </c>
      <c r="C10" s="17" t="s">
        <v>1814</v>
      </c>
      <c r="D10" s="17" t="s">
        <v>3221</v>
      </c>
      <c r="E10" s="17" t="s">
        <v>3222</v>
      </c>
      <c r="F10" s="17" t="s">
        <v>3223</v>
      </c>
      <c r="G10" s="17" t="s">
        <v>3224</v>
      </c>
      <c r="H10" s="17" t="s">
        <v>3225</v>
      </c>
      <c r="I10" s="51" t="s">
        <v>4</v>
      </c>
    </row>
    <row r="11" spans="1:9" ht="29" x14ac:dyDescent="0.35">
      <c r="A11" s="17" t="s">
        <v>233</v>
      </c>
      <c r="B11" s="17" t="s">
        <v>3226</v>
      </c>
      <c r="C11" s="17" t="s">
        <v>1814</v>
      </c>
      <c r="D11" s="17" t="s">
        <v>3227</v>
      </c>
      <c r="E11" s="17" t="s">
        <v>3228</v>
      </c>
      <c r="F11" s="17" t="s">
        <v>3229</v>
      </c>
      <c r="G11" s="17" t="s">
        <v>3230</v>
      </c>
      <c r="H11" s="17" t="s">
        <v>3231</v>
      </c>
      <c r="I11" s="51" t="s">
        <v>4</v>
      </c>
    </row>
    <row r="12" spans="1:9" ht="29" x14ac:dyDescent="0.35">
      <c r="A12" s="17" t="s">
        <v>93</v>
      </c>
      <c r="B12" s="17" t="s">
        <v>3232</v>
      </c>
      <c r="C12" s="17" t="s">
        <v>1814</v>
      </c>
      <c r="D12" s="17" t="s">
        <v>3233</v>
      </c>
      <c r="E12" s="17" t="s">
        <v>3234</v>
      </c>
      <c r="F12" s="17" t="s">
        <v>3235</v>
      </c>
      <c r="G12" s="17" t="s">
        <v>3236</v>
      </c>
      <c r="H12" s="17" t="s">
        <v>3237</v>
      </c>
      <c r="I12" s="51" t="s">
        <v>4</v>
      </c>
    </row>
    <row r="13" spans="1:9" ht="43.5" x14ac:dyDescent="0.35">
      <c r="A13" s="17" t="s">
        <v>98</v>
      </c>
      <c r="B13" s="17" t="s">
        <v>3238</v>
      </c>
      <c r="C13" s="17" t="s">
        <v>3239</v>
      </c>
      <c r="D13" s="17" t="s">
        <v>3240</v>
      </c>
      <c r="E13" s="17" t="s">
        <v>3241</v>
      </c>
      <c r="F13" s="17" t="s">
        <v>3242</v>
      </c>
      <c r="G13" s="17" t="s">
        <v>3243</v>
      </c>
      <c r="H13" s="17" t="s">
        <v>3244</v>
      </c>
      <c r="I13" s="51" t="s">
        <v>4</v>
      </c>
    </row>
    <row r="14" spans="1:9" ht="43.5" x14ac:dyDescent="0.35">
      <c r="A14" s="17" t="s">
        <v>105</v>
      </c>
      <c r="B14" s="17" t="s">
        <v>3245</v>
      </c>
      <c r="C14" s="17" t="s">
        <v>3239</v>
      </c>
      <c r="D14" s="17" t="s">
        <v>3246</v>
      </c>
      <c r="E14" s="17" t="s">
        <v>3241</v>
      </c>
      <c r="F14" s="17" t="s">
        <v>3247</v>
      </c>
      <c r="G14" s="17" t="s">
        <v>3248</v>
      </c>
      <c r="H14" s="17" t="s">
        <v>3249</v>
      </c>
      <c r="I14" s="51" t="s">
        <v>4</v>
      </c>
    </row>
    <row r="15" spans="1:9" ht="43.5" x14ac:dyDescent="0.35">
      <c r="A15" s="17" t="s">
        <v>113</v>
      </c>
      <c r="B15" s="17" t="s">
        <v>3250</v>
      </c>
      <c r="C15" s="17" t="s">
        <v>3239</v>
      </c>
      <c r="D15" s="17" t="s">
        <v>3246</v>
      </c>
      <c r="E15" s="17" t="s">
        <v>3241</v>
      </c>
      <c r="F15" s="17" t="s">
        <v>3251</v>
      </c>
      <c r="G15" s="17" t="s">
        <v>3252</v>
      </c>
      <c r="H15" s="17" t="s">
        <v>3253</v>
      </c>
      <c r="I15" s="51" t="s">
        <v>4</v>
      </c>
    </row>
    <row r="16" spans="1:9" ht="29" x14ac:dyDescent="0.35">
      <c r="A16" s="17" t="s">
        <v>119</v>
      </c>
      <c r="B16" s="17" t="s">
        <v>3254</v>
      </c>
      <c r="C16" s="17" t="s">
        <v>3239</v>
      </c>
      <c r="D16" s="17" t="s">
        <v>3255</v>
      </c>
      <c r="E16" s="17" t="s">
        <v>3241</v>
      </c>
      <c r="F16" s="17" t="s">
        <v>3256</v>
      </c>
      <c r="G16" s="17" t="s">
        <v>3257</v>
      </c>
      <c r="H16" s="17" t="s">
        <v>3258</v>
      </c>
      <c r="I16" s="51" t="s">
        <v>4</v>
      </c>
    </row>
    <row r="17" spans="1:9" ht="43.5" x14ac:dyDescent="0.35">
      <c r="A17" s="17" t="s">
        <v>125</v>
      </c>
      <c r="B17" s="17" t="s">
        <v>3259</v>
      </c>
      <c r="C17" s="17" t="s">
        <v>3239</v>
      </c>
      <c r="D17" s="17" t="s">
        <v>3260</v>
      </c>
      <c r="E17" s="17" t="s">
        <v>3261</v>
      </c>
      <c r="F17" s="17" t="s">
        <v>3262</v>
      </c>
      <c r="G17" s="17" t="s">
        <v>3263</v>
      </c>
      <c r="H17" s="17" t="s">
        <v>3264</v>
      </c>
      <c r="I17" s="51" t="s">
        <v>4</v>
      </c>
    </row>
    <row r="18" spans="1:9" ht="43.5" x14ac:dyDescent="0.35">
      <c r="A18" s="17" t="s">
        <v>132</v>
      </c>
      <c r="B18" s="17" t="s">
        <v>3265</v>
      </c>
      <c r="C18" s="17" t="s">
        <v>1814</v>
      </c>
      <c r="D18" s="17" t="s">
        <v>3266</v>
      </c>
      <c r="E18" s="17" t="s">
        <v>3267</v>
      </c>
      <c r="F18" s="17" t="s">
        <v>3268</v>
      </c>
      <c r="G18" s="17" t="s">
        <v>3269</v>
      </c>
      <c r="H18" s="17" t="s">
        <v>3270</v>
      </c>
      <c r="I18" s="51" t="s">
        <v>4</v>
      </c>
    </row>
    <row r="19" spans="1:9" x14ac:dyDescent="0.35">
      <c r="A19" s="17"/>
      <c r="B19" s="17"/>
      <c r="C19" s="17"/>
      <c r="D19" s="17"/>
      <c r="E19" s="17"/>
      <c r="F19" s="17"/>
      <c r="G19" s="17"/>
      <c r="H19" s="17"/>
    </row>
    <row r="20" spans="1:9" x14ac:dyDescent="0.35">
      <c r="A20" s="17"/>
      <c r="B20" s="17"/>
      <c r="C20" s="17"/>
      <c r="D20" s="17"/>
      <c r="E20" s="34"/>
      <c r="F20" s="17"/>
      <c r="G20" s="17"/>
      <c r="H20" s="17"/>
    </row>
    <row r="21" spans="1:9" x14ac:dyDescent="0.35">
      <c r="A21" s="17"/>
      <c r="B21" s="17"/>
      <c r="C21" s="17"/>
      <c r="D21" s="17"/>
      <c r="E21" s="34"/>
      <c r="F21" s="17"/>
      <c r="G21" s="17"/>
      <c r="H21" s="17"/>
    </row>
    <row r="22" spans="1:9" x14ac:dyDescent="0.35">
      <c r="A22" s="17"/>
      <c r="B22" s="17"/>
      <c r="C22" s="17"/>
      <c r="D22" s="17"/>
      <c r="E22" s="17"/>
      <c r="F22" s="17"/>
      <c r="G22" s="17"/>
      <c r="H22" s="17"/>
    </row>
    <row r="23" spans="1:9" x14ac:dyDescent="0.35">
      <c r="A23" s="17"/>
      <c r="B23" s="17"/>
      <c r="C23" s="17"/>
      <c r="D23" s="17"/>
      <c r="E23" s="34"/>
      <c r="F23" s="17"/>
      <c r="G23" s="17"/>
      <c r="H23" s="17"/>
    </row>
    <row r="24" spans="1:9" x14ac:dyDescent="0.35">
      <c r="A24" s="17"/>
      <c r="B24" s="17"/>
      <c r="C24" s="17"/>
      <c r="D24" s="17"/>
      <c r="E24" s="34"/>
      <c r="F24" s="17"/>
      <c r="G24" s="17"/>
      <c r="H24" s="17"/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  <row r="26" spans="1:9" x14ac:dyDescent="0.35">
      <c r="A26" s="17"/>
      <c r="B26" s="17"/>
      <c r="C26" s="17"/>
      <c r="D26" s="17"/>
      <c r="E26" s="17"/>
      <c r="F26" s="17"/>
      <c r="G26" s="17"/>
      <c r="H26" s="17"/>
    </row>
    <row r="27" spans="1:9" x14ac:dyDescent="0.35">
      <c r="A27" s="17"/>
      <c r="B27" s="17"/>
      <c r="C27" s="17"/>
      <c r="D27" s="17"/>
      <c r="E27" s="17"/>
      <c r="F27" s="17"/>
      <c r="G27" s="17"/>
      <c r="H27" s="17"/>
    </row>
    <row r="28" spans="1:9" x14ac:dyDescent="0.35">
      <c r="A28" s="17"/>
      <c r="B28" s="17"/>
      <c r="C28" s="17"/>
      <c r="D28" s="17"/>
      <c r="E28" s="17"/>
      <c r="F28" s="17"/>
      <c r="G28" s="17"/>
      <c r="H28" s="17"/>
    </row>
    <row r="29" spans="1:9" x14ac:dyDescent="0.35">
      <c r="A29" s="17"/>
      <c r="B29" s="17"/>
      <c r="C29" s="17"/>
      <c r="D29" s="17"/>
      <c r="E29" s="17"/>
      <c r="F29" s="17"/>
      <c r="G29" s="17"/>
      <c r="H29" s="17"/>
    </row>
    <row r="30" spans="1:9" x14ac:dyDescent="0.35">
      <c r="A30" s="17"/>
      <c r="B30" s="17"/>
      <c r="C30" s="17"/>
      <c r="D30" s="17"/>
      <c r="E30" s="17"/>
      <c r="F30" s="17"/>
      <c r="G30" s="17"/>
      <c r="H30" s="17"/>
    </row>
    <row r="31" spans="1:9" x14ac:dyDescent="0.35">
      <c r="A31" s="17"/>
      <c r="B31" s="17"/>
      <c r="C31" s="17"/>
      <c r="D31" s="17"/>
      <c r="E31" s="17"/>
      <c r="F31" s="17"/>
      <c r="G31" s="17"/>
      <c r="H31" s="17"/>
    </row>
    <row r="32" spans="1:9" x14ac:dyDescent="0.35">
      <c r="A32" s="17"/>
      <c r="B32" s="17"/>
      <c r="C32" s="17"/>
      <c r="D32" s="17"/>
      <c r="E32" s="17"/>
      <c r="F32" s="17"/>
      <c r="G32" s="17"/>
      <c r="H32" s="17"/>
    </row>
    <row r="33" spans="1:8" x14ac:dyDescent="0.35">
      <c r="A33" s="17"/>
      <c r="B33" s="17"/>
      <c r="C33" s="17"/>
      <c r="D33" s="17"/>
      <c r="E33" s="17"/>
      <c r="F33" s="17"/>
      <c r="G33" s="17"/>
      <c r="H33" s="17"/>
    </row>
    <row r="34" spans="1:8" x14ac:dyDescent="0.35">
      <c r="A34" s="17"/>
      <c r="B34" s="17"/>
      <c r="C34" s="17"/>
      <c r="D34" s="17"/>
      <c r="E34" s="17"/>
      <c r="F34" s="17"/>
      <c r="G34" s="17"/>
      <c r="H34" s="17"/>
    </row>
    <row r="35" spans="1:8" x14ac:dyDescent="0.35">
      <c r="A35" s="17"/>
      <c r="B35" s="17"/>
      <c r="C35" s="17"/>
      <c r="D35" s="17"/>
      <c r="E35" s="17"/>
      <c r="F35" s="17"/>
      <c r="G35" s="17"/>
      <c r="H35" s="17"/>
    </row>
    <row r="36" spans="1:8" x14ac:dyDescent="0.35">
      <c r="A36" s="17"/>
      <c r="B36" s="17"/>
      <c r="C36" s="17"/>
      <c r="D36" s="17"/>
      <c r="E36" s="17"/>
      <c r="F36" s="17"/>
      <c r="G36" s="17"/>
      <c r="H36" s="17"/>
    </row>
    <row r="37" spans="1:8" x14ac:dyDescent="0.35">
      <c r="A37" s="17"/>
      <c r="B37" s="17"/>
      <c r="C37" s="17"/>
      <c r="D37" s="17"/>
      <c r="E37" s="17"/>
      <c r="F37" s="17"/>
      <c r="G37" s="17"/>
      <c r="H37" s="17"/>
    </row>
  </sheetData>
  <mergeCells count="5">
    <mergeCell ref="A1:A3"/>
    <mergeCell ref="C1:D1"/>
    <mergeCell ref="E1:E3"/>
    <mergeCell ref="C2:D2"/>
    <mergeCell ref="C3:D3"/>
  </mergeCells>
  <conditionalFormatting sqref="F1">
    <cfRule type="containsText" dxfId="23" priority="6" operator="containsText" text="Passed">
      <formula>NOT(ISERROR(SEARCH(("Passed"),(F1))))</formula>
    </cfRule>
    <cfRule type="containsText" dxfId="22" priority="7" operator="containsText" text="Failed">
      <formula>NOT(ISERROR(SEARCH(("Failed"),(F1))))</formula>
    </cfRule>
    <cfRule type="containsText" dxfId="21" priority="8" operator="containsText" text="Incomplete">
      <formula>NOT(ISERROR(SEARCH(("Incomplete"),(F1))))</formula>
    </cfRule>
  </conditionalFormatting>
  <conditionalFormatting sqref="I6:I18">
    <cfRule type="containsText" dxfId="20" priority="1" operator="containsText" text="Passed">
      <formula>NOT(ISERROR(SEARCH(("Passed"),(I6))))</formula>
    </cfRule>
    <cfRule type="containsText" dxfId="19" priority="2" operator="containsText" text="Failed">
      <formula>NOT(ISERROR(SEARCH(("Failed"),(I6))))</formula>
    </cfRule>
    <cfRule type="containsText" dxfId="18" priority="3" operator="containsText" text="Bug ok">
      <formula>NOT(ISERROR(SEARCH(("Bug ok"),(I6))))</formula>
    </cfRule>
    <cfRule type="containsText" dxfId="17" priority="4" operator="containsText" text="Blocked">
      <formula>NOT(ISERROR(SEARCH(("Blocked"),(I6))))</formula>
    </cfRule>
    <cfRule type="containsText" dxfId="16" priority="5" operator="containsText" text="Cannot run">
      <formula>NOT(ISERROR(SEARCH(("Cannot run"),(J6))))</formula>
    </cfRule>
  </conditionalFormatting>
  <dataValidations count="1">
    <dataValidation type="list" allowBlank="1" showErrorMessage="1" sqref="I6:I18" xr:uid="{79B45BA2-B85C-4B45-8BA0-D1ABAA5F4E93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C3DD-2E65-4B3F-B2BA-5520E4C7C807}">
  <dimension ref="A1:I25"/>
  <sheetViews>
    <sheetView workbookViewId="0">
      <selection activeCell="G2" sqref="G2"/>
    </sheetView>
  </sheetViews>
  <sheetFormatPr defaultRowHeight="14.5" x14ac:dyDescent="0.35"/>
  <cols>
    <col min="1" max="1" width="37.81640625" customWidth="1"/>
    <col min="2" max="9" width="27.7265625" customWidth="1"/>
  </cols>
  <sheetData>
    <row r="1" spans="1:9" ht="15.5" x14ac:dyDescent="0.35">
      <c r="A1" s="76"/>
      <c r="B1" s="35" t="s">
        <v>2</v>
      </c>
      <c r="C1" s="103" t="s">
        <v>3271</v>
      </c>
      <c r="D1" s="101"/>
      <c r="E1" s="87"/>
      <c r="F1" s="18" t="s">
        <v>52</v>
      </c>
      <c r="G1" s="10" t="s">
        <v>4</v>
      </c>
      <c r="H1" s="20" t="s">
        <v>5</v>
      </c>
      <c r="I1" s="21" t="s">
        <v>6</v>
      </c>
    </row>
    <row r="2" spans="1:9" ht="18" x14ac:dyDescent="0.35">
      <c r="A2" s="76"/>
      <c r="B2" s="35" t="s">
        <v>53</v>
      </c>
      <c r="C2" s="104" t="s">
        <v>54</v>
      </c>
      <c r="D2" s="80"/>
      <c r="E2" s="82"/>
      <c r="F2" s="22">
        <f>COUNTIF(A1:A182,"TC-??")</f>
        <v>17</v>
      </c>
      <c r="G2" s="14">
        <f>COUNTIF(I4:I844,"Đạt")</f>
        <v>17</v>
      </c>
      <c r="H2" s="6">
        <f>COUNTIF(F4:F844,"Không Đạt")</f>
        <v>0</v>
      </c>
      <c r="I2" s="6">
        <f>COUNTIF(F4:F844,"Chưa Xong")</f>
        <v>0</v>
      </c>
    </row>
    <row r="3" spans="1:9" ht="18" x14ac:dyDescent="0.35">
      <c r="A3" s="76"/>
      <c r="B3" s="35" t="s">
        <v>55</v>
      </c>
      <c r="C3" s="105">
        <v>46016</v>
      </c>
      <c r="D3" s="80"/>
      <c r="E3" s="83"/>
      <c r="F3" s="23">
        <f>SUM(G3+H3+I3)</f>
        <v>1</v>
      </c>
      <c r="G3" s="16">
        <f>G2/F2</f>
        <v>1</v>
      </c>
      <c r="H3" s="24">
        <f>H2/F2</f>
        <v>0</v>
      </c>
      <c r="I3" s="23">
        <f>I2/F2</f>
        <v>0</v>
      </c>
    </row>
    <row r="5" spans="1:9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9" ht="43.5" x14ac:dyDescent="0.35">
      <c r="A6" s="17" t="s">
        <v>65</v>
      </c>
      <c r="B6" s="17" t="s">
        <v>3272</v>
      </c>
      <c r="C6" s="17" t="s">
        <v>3122</v>
      </c>
      <c r="D6" s="17" t="s">
        <v>3273</v>
      </c>
      <c r="E6" s="17" t="s">
        <v>3124</v>
      </c>
      <c r="F6" s="17" t="s">
        <v>3274</v>
      </c>
      <c r="G6" s="33" t="s">
        <v>3275</v>
      </c>
      <c r="H6" s="17" t="s">
        <v>3276</v>
      </c>
      <c r="I6" s="51" t="s">
        <v>4</v>
      </c>
    </row>
    <row r="7" spans="1:9" ht="58" x14ac:dyDescent="0.35">
      <c r="A7" s="17" t="s">
        <v>72</v>
      </c>
      <c r="B7" s="17" t="s">
        <v>3272</v>
      </c>
      <c r="C7" s="17" t="s">
        <v>3122</v>
      </c>
      <c r="D7" s="17" t="s">
        <v>3277</v>
      </c>
      <c r="E7" s="17" t="s">
        <v>3205</v>
      </c>
      <c r="F7" s="17" t="s">
        <v>3278</v>
      </c>
      <c r="G7" s="17" t="s">
        <v>3279</v>
      </c>
      <c r="H7" s="17" t="s">
        <v>3280</v>
      </c>
      <c r="I7" s="51" t="s">
        <v>4</v>
      </c>
    </row>
    <row r="8" spans="1:9" ht="58" x14ac:dyDescent="0.35">
      <c r="A8" s="17" t="s">
        <v>77</v>
      </c>
      <c r="B8" s="17" t="s">
        <v>3281</v>
      </c>
      <c r="C8" s="17" t="s">
        <v>3122</v>
      </c>
      <c r="D8" s="17" t="s">
        <v>3282</v>
      </c>
      <c r="E8" s="17" t="s">
        <v>3283</v>
      </c>
      <c r="F8" s="17" t="s">
        <v>3284</v>
      </c>
      <c r="G8" s="33" t="s">
        <v>3285</v>
      </c>
      <c r="H8" s="17" t="s">
        <v>3286</v>
      </c>
      <c r="I8" s="51" t="s">
        <v>4</v>
      </c>
    </row>
    <row r="9" spans="1:9" x14ac:dyDescent="0.35">
      <c r="A9" s="17" t="s">
        <v>83</v>
      </c>
      <c r="B9" s="17" t="s">
        <v>3281</v>
      </c>
      <c r="C9" s="17" t="s">
        <v>3122</v>
      </c>
      <c r="D9" s="17" t="s">
        <v>3287</v>
      </c>
      <c r="E9" s="17" t="s">
        <v>3288</v>
      </c>
      <c r="F9" s="17" t="s">
        <v>3289</v>
      </c>
      <c r="G9" s="17" t="s">
        <v>3290</v>
      </c>
      <c r="H9" s="17" t="s">
        <v>3291</v>
      </c>
      <c r="I9" s="51" t="s">
        <v>4</v>
      </c>
    </row>
    <row r="10" spans="1:9" ht="29" x14ac:dyDescent="0.35">
      <c r="A10" s="17" t="s">
        <v>88</v>
      </c>
      <c r="B10" s="17" t="s">
        <v>3292</v>
      </c>
      <c r="C10" s="17" t="s">
        <v>3122</v>
      </c>
      <c r="D10" s="17" t="s">
        <v>3293</v>
      </c>
      <c r="E10" s="17" t="s">
        <v>3294</v>
      </c>
      <c r="F10" s="17" t="s">
        <v>3295</v>
      </c>
      <c r="G10" s="17" t="s">
        <v>3296</v>
      </c>
      <c r="H10" s="17" t="s">
        <v>3297</v>
      </c>
      <c r="I10" s="51" t="s">
        <v>4</v>
      </c>
    </row>
    <row r="11" spans="1:9" ht="29" x14ac:dyDescent="0.35">
      <c r="A11" s="17" t="s">
        <v>233</v>
      </c>
      <c r="B11" s="17" t="s">
        <v>3292</v>
      </c>
      <c r="C11" s="17" t="s">
        <v>3122</v>
      </c>
      <c r="D11" s="17" t="s">
        <v>1833</v>
      </c>
      <c r="E11" s="17" t="s">
        <v>3298</v>
      </c>
      <c r="F11" s="17" t="s">
        <v>3299</v>
      </c>
      <c r="G11" s="17" t="s">
        <v>3300</v>
      </c>
      <c r="H11" s="17" t="s">
        <v>3301</v>
      </c>
      <c r="I11" s="51" t="s">
        <v>4</v>
      </c>
    </row>
    <row r="12" spans="1:9" ht="29" x14ac:dyDescent="0.35">
      <c r="A12" s="17" t="s">
        <v>93</v>
      </c>
      <c r="B12" s="17" t="s">
        <v>3292</v>
      </c>
      <c r="C12" s="17" t="s">
        <v>3122</v>
      </c>
      <c r="D12" s="17" t="s">
        <v>3302</v>
      </c>
      <c r="E12" s="17" t="s">
        <v>3303</v>
      </c>
      <c r="F12" s="17" t="s">
        <v>3304</v>
      </c>
      <c r="G12" s="17" t="s">
        <v>3305</v>
      </c>
      <c r="H12" s="17" t="s">
        <v>3306</v>
      </c>
      <c r="I12" s="51" t="s">
        <v>4</v>
      </c>
    </row>
    <row r="13" spans="1:9" ht="29" x14ac:dyDescent="0.35">
      <c r="A13" s="17" t="s">
        <v>98</v>
      </c>
      <c r="B13" s="17" t="s">
        <v>3292</v>
      </c>
      <c r="C13" s="17" t="s">
        <v>3122</v>
      </c>
      <c r="D13" s="17" t="s">
        <v>3307</v>
      </c>
      <c r="E13" s="17" t="s">
        <v>3308</v>
      </c>
      <c r="F13" s="17" t="s">
        <v>3309</v>
      </c>
      <c r="G13" s="17" t="s">
        <v>1839</v>
      </c>
      <c r="H13" s="17" t="s">
        <v>3310</v>
      </c>
      <c r="I13" s="51" t="s">
        <v>4</v>
      </c>
    </row>
    <row r="14" spans="1:9" ht="29" x14ac:dyDescent="0.35">
      <c r="A14" s="17" t="s">
        <v>105</v>
      </c>
      <c r="B14" s="17" t="s">
        <v>3311</v>
      </c>
      <c r="C14" s="17" t="s">
        <v>3122</v>
      </c>
      <c r="D14" s="17" t="s">
        <v>46</v>
      </c>
      <c r="E14" s="17" t="s">
        <v>225</v>
      </c>
      <c r="F14" s="17" t="s">
        <v>241</v>
      </c>
      <c r="G14" s="17" t="s">
        <v>3312</v>
      </c>
      <c r="H14" s="17" t="s">
        <v>3313</v>
      </c>
      <c r="I14" s="51" t="s">
        <v>4</v>
      </c>
    </row>
    <row r="15" spans="1:9" ht="43.5" x14ac:dyDescent="0.35">
      <c r="A15" s="17" t="s">
        <v>113</v>
      </c>
      <c r="B15" s="17" t="s">
        <v>3314</v>
      </c>
      <c r="C15" s="17" t="s">
        <v>3122</v>
      </c>
      <c r="D15" s="17" t="s">
        <v>2136</v>
      </c>
      <c r="E15" s="17" t="s">
        <v>3315</v>
      </c>
      <c r="F15" s="17" t="s">
        <v>3316</v>
      </c>
      <c r="G15" s="17" t="s">
        <v>2583</v>
      </c>
      <c r="H15" s="17" t="s">
        <v>3317</v>
      </c>
      <c r="I15" s="51" t="s">
        <v>4</v>
      </c>
    </row>
    <row r="16" spans="1:9" ht="29" x14ac:dyDescent="0.35">
      <c r="A16" s="17" t="s">
        <v>119</v>
      </c>
      <c r="B16" s="17" t="s">
        <v>3318</v>
      </c>
      <c r="C16" s="17" t="s">
        <v>3122</v>
      </c>
      <c r="D16" s="17" t="s">
        <v>3319</v>
      </c>
      <c r="E16" s="17" t="s">
        <v>3320</v>
      </c>
      <c r="F16" s="17" t="s">
        <v>3321</v>
      </c>
      <c r="G16" s="17" t="s">
        <v>3322</v>
      </c>
      <c r="H16" s="17" t="s">
        <v>3323</v>
      </c>
      <c r="I16" s="51" t="s">
        <v>4</v>
      </c>
    </row>
    <row r="17" spans="1:9" ht="29" x14ac:dyDescent="0.35">
      <c r="A17" s="17" t="s">
        <v>125</v>
      </c>
      <c r="B17" s="17" t="s">
        <v>3324</v>
      </c>
      <c r="C17" s="17" t="s">
        <v>3122</v>
      </c>
      <c r="D17" s="17" t="s">
        <v>3325</v>
      </c>
      <c r="E17" s="17" t="s">
        <v>3326</v>
      </c>
      <c r="F17" s="17" t="s">
        <v>3327</v>
      </c>
      <c r="G17" s="17" t="s">
        <v>3328</v>
      </c>
      <c r="H17" s="17" t="s">
        <v>3329</v>
      </c>
      <c r="I17" s="51" t="s">
        <v>4</v>
      </c>
    </row>
    <row r="18" spans="1:9" ht="29" x14ac:dyDescent="0.35">
      <c r="A18" s="17" t="s">
        <v>132</v>
      </c>
      <c r="B18" s="17" t="s">
        <v>3330</v>
      </c>
      <c r="C18" s="17" t="s">
        <v>3122</v>
      </c>
      <c r="D18" s="17" t="s">
        <v>1952</v>
      </c>
      <c r="E18" s="17" t="s">
        <v>2587</v>
      </c>
      <c r="F18" s="17" t="s">
        <v>2951</v>
      </c>
      <c r="G18" s="17" t="s">
        <v>3331</v>
      </c>
      <c r="H18" s="17" t="s">
        <v>3332</v>
      </c>
      <c r="I18" s="51" t="s">
        <v>4</v>
      </c>
    </row>
    <row r="19" spans="1:9" ht="29" x14ac:dyDescent="0.35">
      <c r="A19" s="17" t="s">
        <v>138</v>
      </c>
      <c r="B19" s="17" t="s">
        <v>3333</v>
      </c>
      <c r="C19" s="17" t="s">
        <v>3122</v>
      </c>
      <c r="D19" s="17" t="s">
        <v>3334</v>
      </c>
      <c r="E19" s="17" t="s">
        <v>236</v>
      </c>
      <c r="F19" s="17" t="s">
        <v>3335</v>
      </c>
      <c r="G19" s="17" t="s">
        <v>3336</v>
      </c>
      <c r="H19" s="17" t="s">
        <v>3337</v>
      </c>
      <c r="I19" s="51" t="s">
        <v>4</v>
      </c>
    </row>
    <row r="20" spans="1:9" x14ac:dyDescent="0.35">
      <c r="A20" s="17" t="s">
        <v>144</v>
      </c>
      <c r="B20" s="17" t="s">
        <v>3333</v>
      </c>
      <c r="C20" s="17" t="s">
        <v>3122</v>
      </c>
      <c r="D20" s="17" t="s">
        <v>3338</v>
      </c>
      <c r="E20" s="17" t="s">
        <v>3339</v>
      </c>
      <c r="F20" s="17" t="s">
        <v>314</v>
      </c>
      <c r="G20" s="33" t="s">
        <v>3340</v>
      </c>
      <c r="H20" s="17" t="s">
        <v>3341</v>
      </c>
      <c r="I20" s="51" t="s">
        <v>4</v>
      </c>
    </row>
    <row r="21" spans="1:9" ht="29" x14ac:dyDescent="0.35">
      <c r="A21" s="17" t="s">
        <v>150</v>
      </c>
      <c r="B21" s="17" t="s">
        <v>3342</v>
      </c>
      <c r="C21" s="17" t="s">
        <v>3122</v>
      </c>
      <c r="D21" s="17" t="s">
        <v>3343</v>
      </c>
      <c r="E21" s="17" t="s">
        <v>3344</v>
      </c>
      <c r="F21" s="17" t="s">
        <v>3345</v>
      </c>
      <c r="G21" s="17" t="s">
        <v>3346</v>
      </c>
      <c r="H21" s="17" t="s">
        <v>3347</v>
      </c>
      <c r="I21" s="51" t="s">
        <v>4</v>
      </c>
    </row>
    <row r="22" spans="1:9" ht="43.5" x14ac:dyDescent="0.35">
      <c r="A22" s="17" t="s">
        <v>157</v>
      </c>
      <c r="B22" s="17" t="s">
        <v>3348</v>
      </c>
      <c r="C22" s="17" t="s">
        <v>3122</v>
      </c>
      <c r="D22" s="17" t="s">
        <v>1579</v>
      </c>
      <c r="E22" s="17" t="s">
        <v>3349</v>
      </c>
      <c r="F22" s="17" t="s">
        <v>1914</v>
      </c>
      <c r="G22" s="17" t="s">
        <v>3350</v>
      </c>
      <c r="H22" s="17" t="s">
        <v>3351</v>
      </c>
      <c r="I22" s="51" t="s">
        <v>4</v>
      </c>
    </row>
    <row r="23" spans="1:9" x14ac:dyDescent="0.35">
      <c r="A23" s="17"/>
      <c r="B23" s="17"/>
      <c r="C23" s="17"/>
      <c r="D23" s="17"/>
      <c r="E23" s="17"/>
      <c r="F23" s="17"/>
      <c r="G23" s="17"/>
      <c r="H23" s="17"/>
    </row>
    <row r="24" spans="1:9" x14ac:dyDescent="0.35">
      <c r="A24" s="17"/>
      <c r="B24" s="17"/>
      <c r="C24" s="17"/>
      <c r="D24" s="17"/>
      <c r="E24" s="17"/>
      <c r="F24" s="17"/>
      <c r="G24" s="17"/>
      <c r="H24" s="17"/>
    </row>
    <row r="25" spans="1:9" x14ac:dyDescent="0.35">
      <c r="A25" s="17"/>
      <c r="B25" s="17"/>
      <c r="C25" s="17"/>
      <c r="D25" s="17"/>
      <c r="E25" s="17"/>
      <c r="F25" s="17"/>
      <c r="G25" s="17"/>
      <c r="H25" s="17"/>
    </row>
  </sheetData>
  <mergeCells count="5">
    <mergeCell ref="A1:A3"/>
    <mergeCell ref="C1:D1"/>
    <mergeCell ref="E1:E3"/>
    <mergeCell ref="C2:D2"/>
    <mergeCell ref="C3:D3"/>
  </mergeCells>
  <conditionalFormatting sqref="F1">
    <cfRule type="containsText" dxfId="15" priority="6" operator="containsText" text="Passed">
      <formula>NOT(ISERROR(SEARCH(("Passed"),(F1))))</formula>
    </cfRule>
    <cfRule type="containsText" dxfId="14" priority="7" operator="containsText" text="Failed">
      <formula>NOT(ISERROR(SEARCH(("Failed"),(F1))))</formula>
    </cfRule>
    <cfRule type="containsText" dxfId="13" priority="8" operator="containsText" text="Incomplete">
      <formula>NOT(ISERROR(SEARCH(("Incomplete"),(F1))))</formula>
    </cfRule>
  </conditionalFormatting>
  <conditionalFormatting sqref="I6:I22">
    <cfRule type="containsText" dxfId="12" priority="1" operator="containsText" text="Passed">
      <formula>NOT(ISERROR(SEARCH(("Passed"),(I6))))</formula>
    </cfRule>
    <cfRule type="containsText" dxfId="11" priority="2" operator="containsText" text="Failed">
      <formula>NOT(ISERROR(SEARCH(("Failed"),(I6))))</formula>
    </cfRule>
    <cfRule type="containsText" dxfId="10" priority="3" operator="containsText" text="Bug ok">
      <formula>NOT(ISERROR(SEARCH(("Bug ok"),(I6))))</formula>
    </cfRule>
    <cfRule type="containsText" dxfId="9" priority="4" operator="containsText" text="Blocked">
      <formula>NOT(ISERROR(SEARCH(("Blocked"),(I6))))</formula>
    </cfRule>
    <cfRule type="containsText" dxfId="8" priority="5" operator="containsText" text="Cannot run">
      <formula>NOT(ISERROR(SEARCH(("Cannot run"),(J6))))</formula>
    </cfRule>
  </conditionalFormatting>
  <dataValidations count="1">
    <dataValidation type="list" allowBlank="1" showErrorMessage="1" sqref="I6:I22" xr:uid="{E59DE635-C16A-4257-869B-54EE24329841}">
      <formula1>"Đạt,Không Đạt,Bug ok,Chưa xong"</formula1>
    </dataValidation>
  </dataValidation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111B-F0F8-449B-8B62-62C3FEAB17AC}">
  <dimension ref="A1:I25"/>
  <sheetViews>
    <sheetView workbookViewId="0">
      <selection activeCell="G2" sqref="G2"/>
    </sheetView>
  </sheetViews>
  <sheetFormatPr defaultRowHeight="14.5" x14ac:dyDescent="0.35"/>
  <cols>
    <col min="1" max="1" width="38.1796875" customWidth="1"/>
    <col min="2" max="9" width="27.453125" customWidth="1"/>
  </cols>
  <sheetData>
    <row r="1" spans="1:9" ht="15.5" x14ac:dyDescent="0.35">
      <c r="A1" s="76"/>
      <c r="B1" s="35" t="s">
        <v>2</v>
      </c>
      <c r="C1" s="103" t="s">
        <v>3352</v>
      </c>
      <c r="D1" s="101"/>
      <c r="E1" s="87"/>
      <c r="F1" s="18" t="s">
        <v>52</v>
      </c>
      <c r="G1" s="10" t="s">
        <v>4</v>
      </c>
      <c r="H1" s="20" t="s">
        <v>5</v>
      </c>
      <c r="I1" s="21" t="s">
        <v>6</v>
      </c>
    </row>
    <row r="2" spans="1:9" ht="18" x14ac:dyDescent="0.35">
      <c r="A2" s="76"/>
      <c r="B2" s="35" t="s">
        <v>53</v>
      </c>
      <c r="C2" s="104" t="s">
        <v>54</v>
      </c>
      <c r="D2" s="80"/>
      <c r="E2" s="82"/>
      <c r="F2" s="22">
        <f>COUNTIF(A1:A182,"TC-??")</f>
        <v>20</v>
      </c>
      <c r="G2" s="14">
        <f>COUNTIF(I4:I844,"Đạt")</f>
        <v>20</v>
      </c>
      <c r="H2" s="6">
        <f>COUNTIF(F4:F844,"Không Đạt")</f>
        <v>0</v>
      </c>
      <c r="I2" s="6">
        <f>COUNTIF(F4:F844,"Chưa Xong")</f>
        <v>0</v>
      </c>
    </row>
    <row r="3" spans="1:9" ht="18" x14ac:dyDescent="0.35">
      <c r="A3" s="76"/>
      <c r="B3" s="35" t="s">
        <v>55</v>
      </c>
      <c r="C3" s="105">
        <v>46016</v>
      </c>
      <c r="D3" s="80"/>
      <c r="E3" s="83"/>
      <c r="F3" s="23">
        <f>SUM(G3+H3+I3)</f>
        <v>1</v>
      </c>
      <c r="G3" s="16">
        <f>G2/F2</f>
        <v>1</v>
      </c>
      <c r="H3" s="24">
        <f>H2/F2</f>
        <v>0</v>
      </c>
      <c r="I3" s="23">
        <f>I2/F2</f>
        <v>0</v>
      </c>
    </row>
    <row r="5" spans="1:9" x14ac:dyDescent="0.35">
      <c r="A5" s="25" t="s">
        <v>56</v>
      </c>
      <c r="B5" s="25" t="s">
        <v>202</v>
      </c>
      <c r="C5" s="25" t="s">
        <v>58</v>
      </c>
      <c r="D5" s="25" t="s">
        <v>59</v>
      </c>
      <c r="E5" s="25" t="s">
        <v>60</v>
      </c>
      <c r="F5" s="25" t="s">
        <v>61</v>
      </c>
      <c r="G5" s="25" t="s">
        <v>62</v>
      </c>
      <c r="H5" s="25" t="s">
        <v>63</v>
      </c>
      <c r="I5" s="30" t="s">
        <v>64</v>
      </c>
    </row>
    <row r="6" spans="1:9" ht="58" x14ac:dyDescent="0.35">
      <c r="A6" s="17" t="s">
        <v>65</v>
      </c>
      <c r="B6" s="17" t="s">
        <v>3353</v>
      </c>
      <c r="C6" s="17" t="s">
        <v>3354</v>
      </c>
      <c r="D6" s="17" t="s">
        <v>3355</v>
      </c>
      <c r="E6" s="17" t="s">
        <v>3356</v>
      </c>
      <c r="F6" s="17" t="s">
        <v>3357</v>
      </c>
      <c r="G6" s="17" t="s">
        <v>3358</v>
      </c>
      <c r="H6" s="17" t="s">
        <v>3359</v>
      </c>
      <c r="I6" s="51" t="s">
        <v>4</v>
      </c>
    </row>
    <row r="7" spans="1:9" ht="43.5" x14ac:dyDescent="0.35">
      <c r="A7" s="17" t="s">
        <v>72</v>
      </c>
      <c r="B7" s="17" t="s">
        <v>3360</v>
      </c>
      <c r="C7" s="17" t="s">
        <v>3354</v>
      </c>
      <c r="D7" s="17" t="s">
        <v>2691</v>
      </c>
      <c r="E7" s="17" t="s">
        <v>3361</v>
      </c>
      <c r="F7" s="17" t="s">
        <v>3362</v>
      </c>
      <c r="G7" s="17" t="s">
        <v>3363</v>
      </c>
      <c r="H7" s="17" t="s">
        <v>3364</v>
      </c>
      <c r="I7" s="51" t="s">
        <v>4</v>
      </c>
    </row>
    <row r="8" spans="1:9" ht="58" x14ac:dyDescent="0.35">
      <c r="A8" s="17" t="s">
        <v>77</v>
      </c>
      <c r="B8" s="17" t="s">
        <v>3365</v>
      </c>
      <c r="C8" s="17" t="s">
        <v>3354</v>
      </c>
      <c r="D8" s="17" t="s">
        <v>3366</v>
      </c>
      <c r="E8" s="17" t="s">
        <v>3367</v>
      </c>
      <c r="F8" s="17" t="s">
        <v>3368</v>
      </c>
      <c r="G8" s="17" t="s">
        <v>3369</v>
      </c>
      <c r="H8" s="17" t="s">
        <v>3370</v>
      </c>
      <c r="I8" s="51" t="s">
        <v>4</v>
      </c>
    </row>
    <row r="9" spans="1:9" ht="43.5" x14ac:dyDescent="0.35">
      <c r="A9" s="17" t="s">
        <v>83</v>
      </c>
      <c r="B9" s="17" t="s">
        <v>3371</v>
      </c>
      <c r="C9" s="17" t="s">
        <v>3354</v>
      </c>
      <c r="D9" s="17" t="s">
        <v>3372</v>
      </c>
      <c r="E9" s="17" t="s">
        <v>3373</v>
      </c>
      <c r="F9" s="17" t="s">
        <v>3374</v>
      </c>
      <c r="G9" s="17" t="s">
        <v>3375</v>
      </c>
      <c r="H9" s="17" t="s">
        <v>3376</v>
      </c>
      <c r="I9" s="51" t="s">
        <v>4</v>
      </c>
    </row>
    <row r="10" spans="1:9" ht="43.5" x14ac:dyDescent="0.35">
      <c r="A10" s="17" t="s">
        <v>88</v>
      </c>
      <c r="B10" s="17" t="s">
        <v>3377</v>
      </c>
      <c r="C10" s="17" t="s">
        <v>3354</v>
      </c>
      <c r="D10" s="17" t="s">
        <v>3378</v>
      </c>
      <c r="E10" s="17" t="s">
        <v>3379</v>
      </c>
      <c r="F10" s="17" t="s">
        <v>3380</v>
      </c>
      <c r="G10" s="17" t="s">
        <v>3381</v>
      </c>
      <c r="H10" s="17" t="s">
        <v>3382</v>
      </c>
      <c r="I10" s="51" t="s">
        <v>4</v>
      </c>
    </row>
    <row r="11" spans="1:9" ht="58" x14ac:dyDescent="0.35">
      <c r="A11" s="17" t="s">
        <v>233</v>
      </c>
      <c r="B11" s="17" t="s">
        <v>3383</v>
      </c>
      <c r="C11" s="17" t="s">
        <v>3354</v>
      </c>
      <c r="D11" s="17" t="s">
        <v>3384</v>
      </c>
      <c r="E11" s="17" t="s">
        <v>3385</v>
      </c>
      <c r="F11" s="17" t="s">
        <v>3386</v>
      </c>
      <c r="G11" s="17" t="s">
        <v>3387</v>
      </c>
      <c r="H11" s="17" t="s">
        <v>3388</v>
      </c>
      <c r="I11" s="51" t="s">
        <v>4</v>
      </c>
    </row>
    <row r="12" spans="1:9" ht="43.5" x14ac:dyDescent="0.35">
      <c r="A12" s="17" t="s">
        <v>93</v>
      </c>
      <c r="B12" s="17" t="s">
        <v>3389</v>
      </c>
      <c r="C12" s="17" t="s">
        <v>3354</v>
      </c>
      <c r="D12" s="17" t="s">
        <v>3390</v>
      </c>
      <c r="E12" s="17" t="s">
        <v>3391</v>
      </c>
      <c r="F12" s="17" t="s">
        <v>3392</v>
      </c>
      <c r="G12" s="17" t="s">
        <v>3393</v>
      </c>
      <c r="H12" s="17" t="s">
        <v>3394</v>
      </c>
      <c r="I12" s="51" t="s">
        <v>4</v>
      </c>
    </row>
    <row r="13" spans="1:9" ht="43.5" x14ac:dyDescent="0.35">
      <c r="A13" s="17" t="s">
        <v>98</v>
      </c>
      <c r="B13" s="17" t="s">
        <v>3395</v>
      </c>
      <c r="C13" s="17" t="s">
        <v>3354</v>
      </c>
      <c r="D13" s="17" t="s">
        <v>3396</v>
      </c>
      <c r="E13" s="17" t="s">
        <v>3397</v>
      </c>
      <c r="F13" s="17" t="s">
        <v>3398</v>
      </c>
      <c r="G13" s="17" t="s">
        <v>3399</v>
      </c>
      <c r="H13" s="17" t="s">
        <v>3400</v>
      </c>
      <c r="I13" s="51" t="s">
        <v>4</v>
      </c>
    </row>
    <row r="14" spans="1:9" ht="29" x14ac:dyDescent="0.35">
      <c r="A14" s="17" t="s">
        <v>105</v>
      </c>
      <c r="B14" s="17" t="s">
        <v>3401</v>
      </c>
      <c r="C14" s="17" t="s">
        <v>3354</v>
      </c>
      <c r="D14" s="17" t="s">
        <v>3402</v>
      </c>
      <c r="E14" s="17" t="s">
        <v>3373</v>
      </c>
      <c r="F14" s="17" t="s">
        <v>3403</v>
      </c>
      <c r="G14" s="17" t="s">
        <v>3404</v>
      </c>
      <c r="H14" s="17" t="s">
        <v>3405</v>
      </c>
      <c r="I14" s="51" t="s">
        <v>4</v>
      </c>
    </row>
    <row r="15" spans="1:9" ht="43.5" x14ac:dyDescent="0.35">
      <c r="A15" s="17" t="s">
        <v>113</v>
      </c>
      <c r="B15" s="17" t="s">
        <v>3406</v>
      </c>
      <c r="C15" s="17" t="s">
        <v>3354</v>
      </c>
      <c r="D15" s="17" t="s">
        <v>3407</v>
      </c>
      <c r="E15" s="17" t="s">
        <v>3408</v>
      </c>
      <c r="F15" s="17" t="s">
        <v>3409</v>
      </c>
      <c r="G15" s="17" t="s">
        <v>3410</v>
      </c>
      <c r="H15" s="17" t="s">
        <v>3411</v>
      </c>
      <c r="I15" s="51" t="s">
        <v>4</v>
      </c>
    </row>
    <row r="16" spans="1:9" ht="43.5" x14ac:dyDescent="0.35">
      <c r="A16" s="17" t="s">
        <v>119</v>
      </c>
      <c r="B16" s="17" t="s">
        <v>3412</v>
      </c>
      <c r="C16" s="17" t="s">
        <v>1549</v>
      </c>
      <c r="D16" s="17" t="s">
        <v>3413</v>
      </c>
      <c r="E16" s="17" t="s">
        <v>3414</v>
      </c>
      <c r="F16" s="17" t="s">
        <v>3415</v>
      </c>
      <c r="G16" s="17" t="s">
        <v>3416</v>
      </c>
      <c r="H16" s="17" t="s">
        <v>3417</v>
      </c>
      <c r="I16" s="51" t="s">
        <v>4</v>
      </c>
    </row>
    <row r="17" spans="1:9" ht="29" x14ac:dyDescent="0.35">
      <c r="A17" s="17" t="s">
        <v>125</v>
      </c>
      <c r="B17" s="17" t="s">
        <v>3418</v>
      </c>
      <c r="C17" s="17" t="s">
        <v>1549</v>
      </c>
      <c r="D17" s="17" t="s">
        <v>3419</v>
      </c>
      <c r="E17" s="17" t="s">
        <v>1953</v>
      </c>
      <c r="F17" s="17" t="s">
        <v>3420</v>
      </c>
      <c r="G17" s="17" t="s">
        <v>3421</v>
      </c>
      <c r="H17" s="17" t="s">
        <v>3422</v>
      </c>
      <c r="I17" s="51" t="s">
        <v>4</v>
      </c>
    </row>
    <row r="18" spans="1:9" ht="29" x14ac:dyDescent="0.35">
      <c r="A18" s="17" t="s">
        <v>132</v>
      </c>
      <c r="B18" s="17" t="s">
        <v>3423</v>
      </c>
      <c r="C18" s="17" t="s">
        <v>1549</v>
      </c>
      <c r="D18" s="17" t="s">
        <v>3424</v>
      </c>
      <c r="E18" s="17" t="s">
        <v>1953</v>
      </c>
      <c r="F18" s="17" t="s">
        <v>3425</v>
      </c>
      <c r="G18" s="17" t="s">
        <v>3426</v>
      </c>
      <c r="H18" s="17" t="s">
        <v>3427</v>
      </c>
      <c r="I18" s="51" t="s">
        <v>4</v>
      </c>
    </row>
    <row r="19" spans="1:9" ht="29" x14ac:dyDescent="0.35">
      <c r="A19" s="17" t="s">
        <v>138</v>
      </c>
      <c r="B19" s="17" t="s">
        <v>3428</v>
      </c>
      <c r="C19" s="17" t="s">
        <v>1549</v>
      </c>
      <c r="D19" s="17" t="s">
        <v>3429</v>
      </c>
      <c r="E19" s="17" t="s">
        <v>1953</v>
      </c>
      <c r="F19" s="17" t="s">
        <v>3430</v>
      </c>
      <c r="G19" s="17" t="s">
        <v>3431</v>
      </c>
      <c r="H19" s="17" t="s">
        <v>3432</v>
      </c>
      <c r="I19" s="51" t="s">
        <v>4</v>
      </c>
    </row>
    <row r="20" spans="1:9" ht="43.5" x14ac:dyDescent="0.35">
      <c r="A20" s="17" t="s">
        <v>144</v>
      </c>
      <c r="B20" s="17" t="s">
        <v>3433</v>
      </c>
      <c r="C20" s="17" t="s">
        <v>1549</v>
      </c>
      <c r="D20" s="17" t="s">
        <v>3434</v>
      </c>
      <c r="E20" s="17" t="s">
        <v>3435</v>
      </c>
      <c r="F20" s="17" t="s">
        <v>3436</v>
      </c>
      <c r="G20" s="17" t="s">
        <v>3437</v>
      </c>
      <c r="H20" s="17" t="s">
        <v>3438</v>
      </c>
      <c r="I20" s="51" t="s">
        <v>4</v>
      </c>
    </row>
    <row r="21" spans="1:9" ht="29" x14ac:dyDescent="0.35">
      <c r="A21" s="17" t="s">
        <v>150</v>
      </c>
      <c r="B21" s="17" t="s">
        <v>3439</v>
      </c>
      <c r="C21" s="17" t="s">
        <v>1549</v>
      </c>
      <c r="D21" s="17" t="s">
        <v>3440</v>
      </c>
      <c r="E21" s="17" t="s">
        <v>3441</v>
      </c>
      <c r="F21" s="17" t="s">
        <v>3442</v>
      </c>
      <c r="G21" s="17" t="s">
        <v>3443</v>
      </c>
      <c r="H21" s="17" t="s">
        <v>3444</v>
      </c>
      <c r="I21" s="51" t="s">
        <v>4</v>
      </c>
    </row>
    <row r="22" spans="1:9" ht="29" x14ac:dyDescent="0.35">
      <c r="A22" s="17" t="s">
        <v>157</v>
      </c>
      <c r="B22" s="17" t="s">
        <v>3445</v>
      </c>
      <c r="C22" s="17" t="s">
        <v>1549</v>
      </c>
      <c r="D22" s="17" t="s">
        <v>3446</v>
      </c>
      <c r="E22" s="17" t="s">
        <v>3447</v>
      </c>
      <c r="F22" s="17" t="s">
        <v>3448</v>
      </c>
      <c r="G22" s="17" t="s">
        <v>3449</v>
      </c>
      <c r="H22" s="17" t="s">
        <v>3450</v>
      </c>
      <c r="I22" s="51" t="s">
        <v>4</v>
      </c>
    </row>
    <row r="23" spans="1:9" ht="29" x14ac:dyDescent="0.35">
      <c r="A23" s="17" t="s">
        <v>163</v>
      </c>
      <c r="B23" s="17" t="s">
        <v>3451</v>
      </c>
      <c r="C23" s="17" t="s">
        <v>1549</v>
      </c>
      <c r="D23" s="17" t="s">
        <v>1268</v>
      </c>
      <c r="E23" s="17" t="s">
        <v>3452</v>
      </c>
      <c r="F23" s="17" t="s">
        <v>3453</v>
      </c>
      <c r="G23" s="17" t="s">
        <v>3454</v>
      </c>
      <c r="H23" s="17" t="s">
        <v>3455</v>
      </c>
      <c r="I23" s="51" t="s">
        <v>4</v>
      </c>
    </row>
    <row r="24" spans="1:9" ht="29" x14ac:dyDescent="0.35">
      <c r="A24" s="17" t="s">
        <v>299</v>
      </c>
      <c r="B24" s="17" t="s">
        <v>3456</v>
      </c>
      <c r="C24" s="17" t="s">
        <v>1549</v>
      </c>
      <c r="D24" s="17" t="s">
        <v>2189</v>
      </c>
      <c r="E24" s="17" t="s">
        <v>2250</v>
      </c>
      <c r="F24" s="17" t="s">
        <v>3457</v>
      </c>
      <c r="G24" s="17" t="s">
        <v>3458</v>
      </c>
      <c r="H24" s="17" t="s">
        <v>3459</v>
      </c>
      <c r="I24" s="51" t="s">
        <v>4</v>
      </c>
    </row>
    <row r="25" spans="1:9" ht="29" x14ac:dyDescent="0.35">
      <c r="A25" s="17" t="s">
        <v>306</v>
      </c>
      <c r="B25" s="17" t="s">
        <v>3460</v>
      </c>
      <c r="C25" s="17" t="s">
        <v>1549</v>
      </c>
      <c r="D25" s="17" t="s">
        <v>2194</v>
      </c>
      <c r="E25" s="17" t="s">
        <v>3461</v>
      </c>
      <c r="F25" s="17" t="s">
        <v>3462</v>
      </c>
      <c r="G25" s="17" t="s">
        <v>3463</v>
      </c>
      <c r="H25" s="17" t="s">
        <v>3464</v>
      </c>
      <c r="I25" s="51" t="s">
        <v>4</v>
      </c>
    </row>
  </sheetData>
  <mergeCells count="5">
    <mergeCell ref="A1:A3"/>
    <mergeCell ref="C1:D1"/>
    <mergeCell ref="E1:E3"/>
    <mergeCell ref="C2:D2"/>
    <mergeCell ref="C3:D3"/>
  </mergeCells>
  <conditionalFormatting sqref="F1">
    <cfRule type="containsText" dxfId="7" priority="6" operator="containsText" text="Passed">
      <formula>NOT(ISERROR(SEARCH(("Passed"),(F1))))</formula>
    </cfRule>
    <cfRule type="containsText" dxfId="6" priority="7" operator="containsText" text="Failed">
      <formula>NOT(ISERROR(SEARCH(("Failed"),(F1))))</formula>
    </cfRule>
    <cfRule type="containsText" dxfId="5" priority="8" operator="containsText" text="Incomplete">
      <formula>NOT(ISERROR(SEARCH(("Incomplete"),(F1))))</formula>
    </cfRule>
  </conditionalFormatting>
  <conditionalFormatting sqref="I6:I25">
    <cfRule type="containsText" dxfId="4" priority="1" operator="containsText" text="Passed">
      <formula>NOT(ISERROR(SEARCH(("Passed"),(I6))))</formula>
    </cfRule>
    <cfRule type="containsText" dxfId="3" priority="2" operator="containsText" text="Failed">
      <formula>NOT(ISERROR(SEARCH(("Failed"),(I6))))</formula>
    </cfRule>
    <cfRule type="containsText" dxfId="2" priority="3" operator="containsText" text="Bug ok">
      <formula>NOT(ISERROR(SEARCH(("Bug ok"),(I6))))</formula>
    </cfRule>
    <cfRule type="containsText" dxfId="1" priority="4" operator="containsText" text="Blocked">
      <formula>NOT(ISERROR(SEARCH(("Blocked"),(I6))))</formula>
    </cfRule>
    <cfRule type="containsText" dxfId="0" priority="5" operator="containsText" text="Cannot run">
      <formula>NOT(ISERROR(SEARCH(("Cannot run"),(J6))))</formula>
    </cfRule>
  </conditionalFormatting>
  <dataValidations count="1">
    <dataValidation type="list" allowBlank="1" showErrorMessage="1" sqref="I6:I25" xr:uid="{DD54AB92-C006-4743-A00A-14461B8EDAE7}">
      <formula1>"Đạt,Không Đạt,Bug ok,Chưa xong"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916DF4DA722642BF96157B04F4CDFB" ma:contentTypeVersion="10" ma:contentTypeDescription="Create a new document." ma:contentTypeScope="" ma:versionID="aaf8f629b7dd42703964494bb2f2971a">
  <xsd:schema xmlns:xsd="http://www.w3.org/2001/XMLSchema" xmlns:xs="http://www.w3.org/2001/XMLSchema" xmlns:p="http://schemas.microsoft.com/office/2006/metadata/properties" xmlns:ns2="f83ac384-4e64-404d-a0b6-7f9b769c3d27" xmlns:ns3="af41dd83-1c60-43df-af5f-db01b351ebb0" targetNamespace="http://schemas.microsoft.com/office/2006/metadata/properties" ma:root="true" ma:fieldsID="cff900d8e622282b1e84879cc19b3c53" ns2:_="" ns3:_="">
    <xsd:import namespace="f83ac384-4e64-404d-a0b6-7f9b769c3d27"/>
    <xsd:import namespace="af41dd83-1c60-43df-af5f-db01b351e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ac384-4e64-404d-a0b6-7f9b769c3d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912cd5b-0937-4ae3-8d85-81ddc630c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1dd83-1c60-43df-af5f-db01b351e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f8f49f-ec7f-44fc-8d5b-4c827bcff415}" ma:internalName="TaxCatchAll" ma:showField="CatchAllData" ma:web="af41dd83-1c60-43df-af5f-db01b351e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3ac384-4e64-404d-a0b6-7f9b769c3d27">
      <Terms xmlns="http://schemas.microsoft.com/office/infopath/2007/PartnerControls"/>
    </lcf76f155ced4ddcb4097134ff3c332f>
    <TaxCatchAll xmlns="af41dd83-1c60-43df-af5f-db01b351ebb0" xsi:nil="true"/>
  </documentManagement>
</p:properties>
</file>

<file path=customXml/itemProps1.xml><?xml version="1.0" encoding="utf-8"?>
<ds:datastoreItem xmlns:ds="http://schemas.openxmlformats.org/officeDocument/2006/customXml" ds:itemID="{C9B7F23C-B42E-44F9-AD83-7C9B3FE41F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3ac384-4e64-404d-a0b6-7f9b769c3d27"/>
    <ds:schemaRef ds:uri="af41dd83-1c60-43df-af5f-db01b351e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DEDB3B-6BE3-452C-BD36-20D2C76F06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4D0EB5-6FC1-4FD4-8743-D8A20699EB81}">
  <ds:schemaRefs>
    <ds:schemaRef ds:uri="http://schemas.microsoft.com/office/2006/metadata/properties"/>
    <ds:schemaRef ds:uri="http://schemas.microsoft.com/office/infopath/2007/PartnerControls"/>
    <ds:schemaRef ds:uri="f83ac384-4e64-404d-a0b6-7f9b769c3d27"/>
    <ds:schemaRef ds:uri="af41dd83-1c60-43df-af5f-db01b351eb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Test Report (QC)</vt:lpstr>
      <vt:lpstr>BeeOS - Đăng nhập</vt:lpstr>
      <vt:lpstr>BeeOS - Đăng Xuất</vt:lpstr>
      <vt:lpstr>BeeOS - Quản lý Pham vi BH</vt:lpstr>
      <vt:lpstr>BeeOS - Quản lý Mức khấu trừ</vt:lpstr>
      <vt:lpstr>BeeOS - Quản lý Loại hình BH</vt:lpstr>
      <vt:lpstr>BeeOS - Quản lý Bộ ĐK bổ sung</vt:lpstr>
      <vt:lpstr>BeeOS - Quản lý ĐK bổ sung</vt:lpstr>
      <vt:lpstr>BeeOS - Quản lý Nhóm Tổn Thất</vt:lpstr>
      <vt:lpstr>BeeOS - Quản lý Công ty BH</vt:lpstr>
      <vt:lpstr>BeeOS - Quản lý P&amp;L</vt:lpstr>
      <vt:lpstr>BeeOS - Quản lý địa điểm</vt:lpstr>
      <vt:lpstr>BeeOS - Tài khoản</vt:lpstr>
      <vt:lpstr>BeeOS - Cài đặt chế độ bảo trì</vt:lpstr>
      <vt:lpstr>BeeOS - Cài đặt thông báo</vt:lpstr>
      <vt:lpstr>BeeOS - Quản lý HĐBH(B1)</vt:lpstr>
      <vt:lpstr>BeeOS - Quản lý HĐBH(B2)</vt:lpstr>
      <vt:lpstr>BeeOS - Quản lý HĐBH(B3)</vt:lpstr>
      <vt:lpstr>BeeOS - Quản lý HĐBH(B4)</vt:lpstr>
      <vt:lpstr>BeeOS - KT Bản chào phí</vt:lpstr>
      <vt:lpstr>BeeOS - Tạo phụ lục HĐBH(B1)</vt:lpstr>
      <vt:lpstr>BeeOS - Tạo Phụ lục HĐ(B2)</vt:lpstr>
      <vt:lpstr>BeeOS -Trang vận hành cấp đơn</vt:lpstr>
      <vt:lpstr>BeeOS - Trang List HĐBH</vt:lpstr>
      <vt:lpstr>BeeOS - ChiTiết HĐ (Nháp)</vt:lpstr>
      <vt:lpstr>BeeO-ChiTiết HĐ (Chờ Duyệt CT)</vt:lpstr>
      <vt:lpstr>BeeOS-ChiTiết HĐ (Chỉnh sửa ĐX)</vt:lpstr>
      <vt:lpstr>BeeOS-ChiTiết HĐ (Đã Duyệt CT)</vt:lpstr>
      <vt:lpstr>BeeO-ChiTiết HĐ (Chờ Duyệt NL)</vt:lpstr>
      <vt:lpstr>BeeOS-ChiTiết HĐ (Chỉnh sửa NL)</vt:lpstr>
      <vt:lpstr>BeeOS-ChiTiết HĐ (Đã Duyệt NL)</vt:lpstr>
      <vt:lpstr>BeeOS-ChiTiết HĐ (TBH Đã Duyệt)</vt:lpstr>
      <vt:lpstr>BeeOS-ChiTiết HĐ (Đã lưu BCHĐ)</vt:lpstr>
      <vt:lpstr>BeeOS-ChiTiết HĐ (Phụ Lục)</vt:lpstr>
      <vt:lpstr>BeeOS - Leader list phê duyệt</vt:lpstr>
      <vt:lpstr>BeeOS - Phê Duyệt CT (B1)</vt:lpstr>
      <vt:lpstr>BeeOS - Phê Duyệt NL (B2)</vt:lpstr>
      <vt:lpstr>BeeOS - Phê Duyệt Phụ Lục</vt:lpstr>
      <vt:lpstr>BeeOS - Leader Trang Đã duyệt</vt:lpstr>
      <vt:lpstr>BeeOS - Email và Tin nhắn Zalo</vt:lpstr>
      <vt:lpstr>BeeOS - Tạo Bồi Thường</vt:lpstr>
      <vt:lpstr>BeeOS - Dashboard Bồi Thường</vt:lpstr>
      <vt:lpstr>BeeOS - Danh sách Bồi Thường</vt:lpstr>
      <vt:lpstr>BeeOS - Chi Tiết Bồi Thường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Tony Nguyen</cp:lastModifiedBy>
  <cp:revision/>
  <dcterms:created xsi:type="dcterms:W3CDTF">2025-11-20T02:03:53Z</dcterms:created>
  <dcterms:modified xsi:type="dcterms:W3CDTF">2026-02-05T02:25:43Z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0x010100FC916DF4DA722642BF96157B04F4CDFB</vt:lpwstr>
  </property>
  <property fmtid="{D5CDD505-2E9C-101B-9397-08002B2CF9AE}" pid="3" name="MediaServiceImageTags">
    <vt:lpwstr/>
  </property>
</Properties>
</file>