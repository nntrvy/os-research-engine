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54d77a9688661eb/VNV-Project/BEEOS/SharedDocument/Weekly-Report/"/>
    </mc:Choice>
  </mc:AlternateContent>
  <xr:revisionPtr revIDLastSave="16024" documentId="11_E3635A91D89360E2088FC70966A6DD3BA462BE81" xr6:coauthVersionLast="47" xr6:coauthVersionMax="47" xr10:uidLastSave="{4F597F09-573B-4304-875B-8DD4170E962C}"/>
  <bookViews>
    <workbookView xWindow="-110" yWindow="-110" windowWidth="19420" windowHeight="11500" xr2:uid="{00000000-000D-0000-FFFF-FFFF00000000}"/>
  </bookViews>
  <sheets>
    <sheet name="W9-9.Jan" sheetId="2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20" l="1"/>
  <c r="D21" i="20" s="1"/>
  <c r="E19" i="20"/>
  <c r="C19" i="20"/>
  <c r="D22" i="20" l="1"/>
  <c r="E21" i="20"/>
  <c r="C21" i="20"/>
  <c r="C20" i="20"/>
  <c r="E20" i="20"/>
  <c r="D23" i="20" l="1"/>
  <c r="E22" i="20"/>
  <c r="C22" i="20"/>
  <c r="E23" i="20" l="1"/>
  <c r="C23" i="20"/>
  <c r="D24" i="20"/>
  <c r="D25" i="20" l="1"/>
  <c r="E24" i="20"/>
  <c r="C24" i="20"/>
  <c r="D26" i="20" l="1"/>
  <c r="E25" i="20"/>
  <c r="C25" i="20"/>
  <c r="D27" i="20" l="1"/>
  <c r="E26" i="20"/>
  <c r="C26" i="20"/>
  <c r="E27" i="20" l="1"/>
  <c r="C27" i="20"/>
  <c r="D28" i="20"/>
  <c r="D29" i="20" l="1"/>
  <c r="C28" i="20"/>
  <c r="E28" i="20"/>
  <c r="D30" i="20" l="1"/>
  <c r="E29" i="20"/>
  <c r="C29" i="20"/>
  <c r="D31" i="20" l="1"/>
  <c r="C30" i="20"/>
  <c r="E30" i="20"/>
  <c r="E31" i="20" l="1"/>
  <c r="C31" i="20"/>
</calcChain>
</file>

<file path=xl/sharedStrings.xml><?xml version="1.0" encoding="utf-8"?>
<sst xmlns="http://schemas.openxmlformats.org/spreadsheetml/2006/main" count="54" uniqueCount="43">
  <si>
    <t>Tuần</t>
  </si>
  <si>
    <t>Tên dự án</t>
  </si>
  <si>
    <t>BeeOS</t>
  </si>
  <si>
    <t>Thời gian thực hiện</t>
  </si>
  <si>
    <t>10.11.2025</t>
  </si>
  <si>
    <t>12.02.2026</t>
  </si>
  <si>
    <t>Trưởng dự án</t>
  </si>
  <si>
    <t>Tony (Vinova)</t>
  </si>
  <si>
    <t>Quản lý khách hàng</t>
  </si>
  <si>
    <t>Audrey (Vinova)</t>
  </si>
  <si>
    <t>Thông tin chung</t>
  </si>
  <si>
    <t>% hoàn thành</t>
  </si>
  <si>
    <t>Tóm lược</t>
  </si>
  <si>
    <t>Công việc trong tuần</t>
  </si>
  <si>
    <t>Dự tính tuần tiếp theo</t>
  </si>
  <si>
    <t>Quản lý Rủi ro</t>
  </si>
  <si>
    <t>Các mốc quan trọng</t>
  </si>
  <si>
    <t>Từ ngày</t>
  </si>
  <si>
    <t>Đến ngày</t>
  </si>
  <si>
    <t>Trạng thái</t>
  </si>
  <si>
    <t>Requirement + Design</t>
  </si>
  <si>
    <t>Đã qua</t>
  </si>
  <si>
    <t>Development</t>
  </si>
  <si>
    <t>Đang tiến hành</t>
  </si>
  <si>
    <t>Chờ đến lượt</t>
  </si>
  <si>
    <t>Links tham khảo thêm</t>
  </si>
  <si>
    <t>Tài liệu chia sẻ</t>
  </si>
  <si>
    <t>Other Note</t>
  </si>
  <si>
    <t>Thử nghiệm</t>
  </si>
  <si>
    <t>Sử dụng thực tế</t>
  </si>
  <si>
    <t>- Danh sách công việc và trạng thái
- Báo cáo tuần
- Tóm tắt tình hình import data vào hệ thống mới
&gt;&gt;&gt; Link tham khảo:  https://1drv.ms/f/c/e54d77a9688661eb/Eh-k0gWYkp9IoZHzEl4lt8gBjHtoEvToZOHHz7i9BkCHWQ?e=6ZjilW</t>
  </si>
  <si>
    <t>BeeOS - Báo cáo - Tuần 9</t>
  </si>
  <si>
    <t>05.01.2026</t>
  </si>
  <si>
    <t>09.01.2026</t>
  </si>
  <si>
    <t>79% (+11)</t>
  </si>
  <si>
    <t>Dữ liệu import vào môi trường production</t>
  </si>
  <si>
    <r>
      <t xml:space="preserve">Quyết định những dữ liệu nào và bao nhiêu là đủ (liên quan đến dữ liệu dùng chung, dữ liệu cấp đơn/bồi thường) sẽ được import vào môi trường production chuẩn bị cho bước chạy kiểm thử và GOLIVE.
</t>
    </r>
    <r>
      <rPr>
        <i/>
        <u/>
        <sz val="8"/>
        <color theme="1"/>
        <rFont val="Arial"/>
        <family val="2"/>
      </rPr>
      <t>Chú ý:</t>
    </r>
    <r>
      <rPr>
        <sz val="8"/>
        <color theme="1"/>
        <rFont val="Arial"/>
        <family val="2"/>
      </rPr>
      <t xml:space="preserve"> Dữ liệu này cũng được xem như dữ liệu thật sẽ được dùng cho production sau này. </t>
    </r>
  </si>
  <si>
    <t xml:space="preserve">Những điểm nổi bật:
- Đã hỗ trợ hầu hết những feedback (ngày 17.12 &amp; 06.01) của BeeVN.
- Tiếp tục kiểm chứng và fix bug cho 2 luồng cấp đơn và bồi thường.
- Đang tiến hành cài đặt cơ sở hạ tầng môi trường production.
</t>
  </si>
  <si>
    <r>
      <rPr>
        <b/>
        <sz val="8"/>
        <color theme="1"/>
        <rFont val="Arial"/>
        <family val="2"/>
      </rPr>
      <t>Team đặt mục tiêu:</t>
    </r>
    <r>
      <rPr>
        <sz val="8"/>
        <color theme="1"/>
        <rFont val="Arial"/>
        <family val="2"/>
      </rPr>
      <t xml:space="preserve"> 
1. Tiếp tục kiểm thử và fix bugs.
2. Tiếp tục hỗ trợ những phản hồi từ BeeVN trong lúc trải nghiệm trên môi trường Vinova Staging (nếu có)
3. Tiếp tục import dữ liệu cấp đơn và bồi thường (theo file mới nhận)
4. Tiếp tục cài đặt và hoàn thiện môi trường production. Bao gồm: cơ sở hạ tầng, cấu hình dữ liệu cơ sở, import data thật.
&gt;&gt;&gt; Mong muốn hoành thành:16.Jan.2026</t>
    </r>
  </si>
  <si>
    <t>1. Team hiện vẫn đang tiếp tục kiểm chứng và fix bug cho 2 luồng cấp đơn và bồi thường, cố gắng tìm và fix càng nhiều tình huống càng tốt.
2. Đã hỗ trợ 90% những điểm feedback cho cả 2 lần (ngày 17.12 &amp; 06.01)
3. Vẫn đang tiến hành cài đặt cơ sở hạ tầng môi trường production chuẩn bị cho bước chạy thử nghiệm và GOLIVE sắp tới.
3. Data migration: vẫn đang chỉ 30% 
-  Mới nhận được bản dữ liệu cập nhật từ BeeVN hôm nay Thứ 6, 09.Jan.</t>
  </si>
  <si>
    <t>Rủi ro #1: Quyết định những dữ liệu nào và bao nhiêu là đủ (dữ liệu dùng chung, dữ liệu cấp đơn/bồi thường) sẽ được import vào môi trường production chuẩn bị cho bước chạy kiểm thử và GOLIVE.
  + Team sẽ phối hợp với Vỹ (và BeeVN) để cùng thực hiện.
Rủi ro #2: Có nhiều feedback thay đổi (nếu có) sẽ ảnh hưởng đển thời gian hoàn thành của dự án.</t>
  </si>
  <si>
    <r>
      <t>(</t>
    </r>
    <r>
      <rPr>
        <b/>
        <sz val="8"/>
        <color theme="1"/>
        <rFont val="Arial"/>
        <family val="2"/>
      </rPr>
      <t>12</t>
    </r>
    <r>
      <rPr>
        <b/>
        <i/>
        <sz val="8"/>
        <color theme="1"/>
        <rFont val="Arial"/>
        <family val="2"/>
      </rPr>
      <t>.Jan -&gt; 18.Jan</t>
    </r>
    <r>
      <rPr>
        <sz val="8"/>
        <color theme="1"/>
        <rFont val="Arial"/>
        <family val="2"/>
      </rPr>
      <t xml:space="preserve">) có 3 nội dung chính:
- Tiếp tục hỗ trợ những phản hồi từ BeeVN trong lúc trải nghiệm trên môi trường Vinova Staging.
- Import data (theo file mới) vào môi trường Vinova Staging để kiểm chứng.
- Tiếp tục cài đặt server production cho cả 2 nhiệm vụ: cơ sở hạ tầng, cấu hình dữ liệu cơ sở, import data thật.
  </t>
    </r>
    <r>
      <rPr>
        <u/>
        <sz val="8"/>
        <color theme="1"/>
        <rFont val="Arial"/>
        <family val="2"/>
      </rPr>
      <t>Ghi chú:</t>
    </r>
    <r>
      <rPr>
        <sz val="8"/>
        <color theme="1"/>
        <rFont val="Arial"/>
        <family val="2"/>
      </rPr>
      <t xml:space="preserve"> Team dự án sẽ làm việc với Vỹ (và BeeVN) thống nhất những dữ liệu nào và bao nhiêu là đủ (liên quan đến dữ liệu dùng chung, dữ liệu cấp đơn/bồi thường) sẽ được import vào môi trường production chuẩn bị cho bước chạy kiểm thử và GOLIVE.</t>
    </r>
  </si>
  <si>
    <r>
      <t>(</t>
    </r>
    <r>
      <rPr>
        <b/>
        <i/>
        <sz val="8"/>
        <color theme="1"/>
        <rFont val="Arial"/>
        <family val="2"/>
      </rPr>
      <t>19.Jan -&gt; 25.Jan</t>
    </r>
    <r>
      <rPr>
        <sz val="8"/>
        <color theme="1"/>
        <rFont val="Arial"/>
        <family val="2"/>
      </rPr>
      <t>) Tiến hành chạy thử nghiệm lấy kết quả đã đủ điều kiện GOLIVE hay chưa trên môi trường production.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</si>
</sst>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14809]d\ mmm\ yyyy;@"/>
  </numFmts>
  <fonts count="13" x14ac:knownFonts="1">
    <font>
      <sz val="11"/>
      <color theme="1"/>
      <name val="Calibri"/>
      <family val="2"/>
      <scheme val="minor"/>
    </font>
    <font>
      <sz val="8"/>
      <color theme="1"/>
      <name val="Arial"/>
      <family val="2"/>
    </font>
    <font>
      <b/>
      <sz val="8"/>
      <color theme="1"/>
      <name val="Arial"/>
      <family val="2"/>
    </font>
    <font>
      <sz val="8"/>
      <color rgb="FFFF0000"/>
      <name val="Arial"/>
      <family val="2"/>
    </font>
    <font>
      <sz val="8"/>
      <color rgb="FF000000"/>
      <name val="Arial"/>
      <family val="2"/>
    </font>
    <font>
      <sz val="8"/>
      <color rgb="FF0000FF"/>
      <name val="Arial"/>
      <family val="2"/>
    </font>
    <font>
      <b/>
      <sz val="14"/>
      <color rgb="FF000000"/>
      <name val="Arial"/>
      <family val="2"/>
    </font>
    <font>
      <b/>
      <sz val="8"/>
      <color rgb="FFFFFFFF"/>
      <name val="Arial"/>
      <family val="2"/>
    </font>
    <font>
      <sz val="8"/>
      <name val="Arial"/>
      <family val="2"/>
    </font>
    <font>
      <sz val="8"/>
      <color theme="5"/>
      <name val="Arial"/>
      <family val="2"/>
    </font>
    <font>
      <i/>
      <u/>
      <sz val="8"/>
      <color theme="1"/>
      <name val="Arial"/>
      <family val="2"/>
    </font>
    <font>
      <b/>
      <i/>
      <sz val="8"/>
      <color theme="1"/>
      <name val="Arial"/>
      <family val="2"/>
    </font>
    <font>
      <u/>
      <sz val="8"/>
      <color theme="1"/>
      <name val="Arial"/>
      <family val="2"/>
    </font>
  </fonts>
  <fills count="3">
    <fill>
      <patternFill patternType="none"/>
    </fill>
    <fill>
      <patternFill patternType="gray125"/>
    </fill>
    <fill>
      <patternFill patternType="solid">
        <fgColor rgb="FF335593"/>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9">
    <xf numFmtId="0" fontId="0" fillId="0" borderId="0" xfId="0"/>
    <xf numFmtId="0" fontId="1" fillId="0" borderId="0" xfId="0" applyFont="1"/>
    <xf numFmtId="0" fontId="6" fillId="0" borderId="0" xfId="0" applyFont="1"/>
    <xf numFmtId="0" fontId="1" fillId="0" borderId="1" xfId="0" applyFont="1" applyBorder="1" applyAlignment="1">
      <alignment vertical="top" wrapText="1"/>
    </xf>
    <xf numFmtId="0" fontId="2" fillId="0" borderId="0" xfId="0" applyFont="1" applyAlignment="1">
      <alignment wrapText="1"/>
    </xf>
    <xf numFmtId="0" fontId="1" fillId="0" borderId="0" xfId="0" applyFont="1" applyAlignment="1">
      <alignment wrapText="1"/>
    </xf>
    <xf numFmtId="0" fontId="4" fillId="0" borderId="0" xfId="0" applyFont="1" applyAlignment="1">
      <alignment horizontal="left"/>
    </xf>
    <xf numFmtId="0" fontId="4" fillId="0" borderId="0" xfId="0" applyFont="1" applyAlignment="1">
      <alignment horizontal="left" wrapText="1"/>
    </xf>
    <xf numFmtId="0" fontId="7" fillId="2" borderId="1" xfId="0" applyFont="1" applyFill="1" applyBorder="1" applyAlignment="1">
      <alignment vertical="top"/>
    </xf>
    <xf numFmtId="164" fontId="1" fillId="0" borderId="1" xfId="0" applyNumberFormat="1" applyFont="1" applyBorder="1" applyAlignment="1">
      <alignment horizontal="left" vertical="top"/>
    </xf>
    <xf numFmtId="0" fontId="1" fillId="0" borderId="0" xfId="0" applyFont="1" applyAlignment="1">
      <alignment vertical="top"/>
    </xf>
    <xf numFmtId="0" fontId="1" fillId="0" borderId="1" xfId="0" applyFont="1" applyBorder="1" applyAlignment="1">
      <alignment vertical="top"/>
    </xf>
    <xf numFmtId="17"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15" fontId="8" fillId="0" borderId="1" xfId="0" applyNumberFormat="1" applyFont="1" applyBorder="1" applyAlignment="1">
      <alignment vertical="center" wrapText="1"/>
    </xf>
    <xf numFmtId="0" fontId="3" fillId="0" borderId="1" xfId="0" applyFont="1" applyBorder="1" applyAlignment="1">
      <alignment vertical="top"/>
    </xf>
    <xf numFmtId="0" fontId="1" fillId="0" borderId="1" xfId="0" quotePrefix="1" applyFont="1" applyBorder="1" applyAlignment="1">
      <alignment vertical="top"/>
    </xf>
    <xf numFmtId="9" fontId="5" fillId="0" borderId="1" xfId="0" applyNumberFormat="1" applyFont="1" applyBorder="1" applyAlignment="1">
      <alignment horizontal="left" vertical="top"/>
    </xf>
    <xf numFmtId="15" fontId="5" fillId="0" borderId="1" xfId="0" applyNumberFormat="1" applyFont="1" applyBorder="1" applyAlignment="1">
      <alignment vertical="center" wrapText="1"/>
    </xf>
    <xf numFmtId="15" fontId="1" fillId="0" borderId="1" xfId="0" applyNumberFormat="1" applyFont="1" applyBorder="1" applyAlignment="1">
      <alignment vertical="center" wrapText="1"/>
    </xf>
    <xf numFmtId="15" fontId="9" fillId="0" borderId="1" xfId="0" applyNumberFormat="1" applyFont="1" applyBorder="1" applyAlignment="1">
      <alignment vertical="center" wrapText="1"/>
    </xf>
    <xf numFmtId="0" fontId="1" fillId="0" borderId="1" xfId="0" applyFont="1" applyBorder="1" applyAlignment="1">
      <alignment horizontal="left" vertical="top"/>
    </xf>
    <xf numFmtId="0" fontId="1" fillId="0" borderId="0" xfId="0" quotePrefix="1" applyFont="1" applyAlignment="1">
      <alignment wrapText="1"/>
    </xf>
    <xf numFmtId="0" fontId="1" fillId="0" borderId="1" xfId="0" quotePrefix="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0" borderId="2" xfId="0" quotePrefix="1" applyFont="1" applyBorder="1" applyAlignment="1">
      <alignment horizontal="left" vertical="top" wrapText="1"/>
    </xf>
    <xf numFmtId="0" fontId="1" fillId="0" borderId="3" xfId="0" quotePrefix="1" applyFont="1" applyBorder="1" applyAlignment="1">
      <alignment horizontal="left" vertical="top" wrapText="1"/>
    </xf>
    <xf numFmtId="0" fontId="1" fillId="0" borderId="4" xfId="0" quotePrefix="1" applyFont="1" applyBorder="1" applyAlignment="1">
      <alignment horizontal="left" vertical="top" wrapText="1"/>
    </xf>
  </cellXfs>
  <cellStyles count="1">
    <cellStyle name="Normal" xfId="0" builtinId="0"/>
  </cellStyles>
  <dxfs count="21">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
      <fill>
        <patternFill patternType="solid">
          <fgColor rgb="FFDEEAF6"/>
          <bgColor rgb="FFDEEAF6"/>
        </patternFill>
      </fill>
    </dxf>
    <dxf>
      <fill>
        <patternFill patternType="solid">
          <fgColor rgb="FFBDD6EE"/>
          <bgColor rgb="FFBDD6EE"/>
        </patternFill>
      </fill>
    </dxf>
    <dxf>
      <fill>
        <patternFill patternType="solid">
          <fgColor theme="6"/>
          <bgColor theme="6"/>
        </patternFill>
      </fill>
    </dxf>
  </dxfs>
  <tableStyles count="6" defaultTableStyle="TableStyleMedium9" defaultPivotStyle="PivotStyleLight16">
    <tableStyle name="Data-Setting-style" pivot="0" count="3" xr9:uid="{4B45045E-69E0-4519-98F5-E409C16A6FC7}">
      <tableStyleElement type="headerRow" dxfId="20"/>
      <tableStyleElement type="firstRowStripe" dxfId="19"/>
      <tableStyleElement type="secondRowStripe" dxfId="18"/>
    </tableStyle>
    <tableStyle name="Data-Setting-style 2" pivot="0" count="3" xr9:uid="{F12F8E63-734F-49D8-85F7-79F1FD57249B}">
      <tableStyleElement type="headerRow" dxfId="17"/>
      <tableStyleElement type="firstRowStripe" dxfId="16"/>
      <tableStyleElement type="secondRowStripe" dxfId="15"/>
    </tableStyle>
    <tableStyle name="Data-Setting-style 2 2" pivot="0" count="3" xr9:uid="{79E30646-064A-4E6E-8C9F-57538C0B5892}">
      <tableStyleElement type="headerRow" dxfId="14"/>
      <tableStyleElement type="firstRowStripe" dxfId="13"/>
      <tableStyleElement type="secondRowStripe" dxfId="12"/>
    </tableStyle>
    <tableStyle name="Data-Setting-style 3" pivot="0" count="3" xr9:uid="{748AF462-EF03-40A7-AD83-8E24EFF3BFE6}">
      <tableStyleElement type="headerRow" dxfId="11"/>
      <tableStyleElement type="firstRowStripe" dxfId="10"/>
      <tableStyleElement type="secondRowStripe" dxfId="9"/>
    </tableStyle>
    <tableStyle name="RAWDATA-TS-style" pivot="0" count="3" xr9:uid="{2BC226EA-1B29-412A-A5BA-A90EEF355ED0}">
      <tableStyleElement type="headerRow" dxfId="8"/>
      <tableStyleElement type="firstRowStripe" dxfId="7"/>
      <tableStyleElement type="secondRowStripe" dxfId="6"/>
    </tableStyle>
    <tableStyle name="RAWDATA-TS-style 2" pivot="0" count="3" xr9:uid="{3DB890DF-76BD-40EB-A90C-3ADC90244373}">
      <tableStyleElement type="headerRow" dxfId="5"/>
      <tableStyleElement type="firstRowStripe" dxfId="4"/>
      <tableStyleElement type="secondRowStripe" dxfId="3"/>
    </tableStyle>
  </tableStyles>
  <colors>
    <mruColors>
      <color rgb="FF0000FF"/>
      <color rgb="FFFFFFCC"/>
      <color rgb="FF0099CC"/>
      <color rgb="FF9933FF"/>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735C-D672-4722-84DC-161CEB64ABD0}">
  <dimension ref="B1:G37"/>
  <sheetViews>
    <sheetView tabSelected="1" topLeftCell="A26" zoomScale="175" zoomScaleNormal="175" workbookViewId="0">
      <selection activeCell="G30" sqref="G30"/>
    </sheetView>
  </sheetViews>
  <sheetFormatPr defaultColWidth="8.7265625" defaultRowHeight="10" x14ac:dyDescent="0.2"/>
  <cols>
    <col min="1" max="1" width="1.54296875" style="1" customWidth="1"/>
    <col min="2" max="2" width="15.54296875" style="1" customWidth="1"/>
    <col min="3" max="3" width="10.54296875" style="1" customWidth="1"/>
    <col min="4" max="4" width="18.54296875" style="1" customWidth="1"/>
    <col min="5" max="6" width="15.54296875" style="1" customWidth="1"/>
    <col min="7" max="7" width="14.1796875" style="1" customWidth="1"/>
    <col min="8" max="16384" width="8.7265625" style="1"/>
  </cols>
  <sheetData>
    <row r="1" spans="2:7" ht="18" x14ac:dyDescent="0.4">
      <c r="B1" s="2" t="s">
        <v>31</v>
      </c>
      <c r="C1" s="4"/>
      <c r="D1" s="5"/>
    </row>
    <row r="2" spans="2:7" x14ac:dyDescent="0.2">
      <c r="B2" s="6"/>
      <c r="C2" s="7"/>
      <c r="D2" s="7"/>
    </row>
    <row r="3" spans="2:7" ht="10.5" x14ac:dyDescent="0.2">
      <c r="B3" s="8" t="s">
        <v>0</v>
      </c>
      <c r="C3" s="21" t="s">
        <v>32</v>
      </c>
      <c r="D3" s="21" t="s">
        <v>33</v>
      </c>
      <c r="E3" s="10"/>
    </row>
    <row r="4" spans="2:7" ht="10.5" x14ac:dyDescent="0.2">
      <c r="B4" s="8" t="s">
        <v>1</v>
      </c>
      <c r="C4" s="11" t="s">
        <v>2</v>
      </c>
      <c r="D4" s="10"/>
      <c r="E4" s="10"/>
    </row>
    <row r="5" spans="2:7" ht="10.5" x14ac:dyDescent="0.2">
      <c r="B5" s="8" t="s">
        <v>3</v>
      </c>
      <c r="C5" s="9" t="s">
        <v>4</v>
      </c>
      <c r="D5" s="15" t="s">
        <v>5</v>
      </c>
      <c r="E5" s="10"/>
    </row>
    <row r="6" spans="2:7" ht="10.5" x14ac:dyDescent="0.2">
      <c r="B6" s="8" t="s">
        <v>6</v>
      </c>
      <c r="C6" s="11" t="s">
        <v>7</v>
      </c>
      <c r="D6" s="8" t="s">
        <v>8</v>
      </c>
      <c r="E6" s="11" t="s">
        <v>9</v>
      </c>
    </row>
    <row r="7" spans="2:7" x14ac:dyDescent="0.2">
      <c r="B7" s="10"/>
      <c r="C7" s="10"/>
      <c r="D7" s="10"/>
      <c r="E7" s="10"/>
    </row>
    <row r="8" spans="2:7" ht="10.5" x14ac:dyDescent="0.2">
      <c r="B8" s="8" t="s">
        <v>10</v>
      </c>
      <c r="C8" s="8"/>
      <c r="D8" s="8"/>
      <c r="E8" s="8"/>
      <c r="F8" s="8"/>
    </row>
    <row r="9" spans="2:7" ht="49" customHeight="1" x14ac:dyDescent="0.2">
      <c r="B9" s="16" t="s">
        <v>11</v>
      </c>
      <c r="C9" s="17" t="s">
        <v>34</v>
      </c>
      <c r="D9" s="24" t="s">
        <v>37</v>
      </c>
      <c r="E9" s="25"/>
      <c r="F9" s="25"/>
      <c r="G9" s="22"/>
    </row>
    <row r="10" spans="2:7" x14ac:dyDescent="0.2">
      <c r="B10" s="11"/>
      <c r="C10" s="11"/>
      <c r="D10" s="10"/>
      <c r="E10" s="10"/>
      <c r="F10" s="10"/>
    </row>
    <row r="11" spans="2:7" ht="10.5" x14ac:dyDescent="0.2">
      <c r="B11" s="8" t="s">
        <v>12</v>
      </c>
      <c r="C11" s="8"/>
      <c r="D11" s="8"/>
      <c r="E11" s="8"/>
      <c r="F11" s="8"/>
    </row>
    <row r="12" spans="2:7" ht="118" customHeight="1" x14ac:dyDescent="0.2">
      <c r="B12" s="11" t="s">
        <v>13</v>
      </c>
      <c r="C12" s="26" t="s">
        <v>39</v>
      </c>
      <c r="D12" s="27"/>
      <c r="E12" s="27"/>
      <c r="F12" s="28"/>
    </row>
    <row r="13" spans="2:7" ht="117.5" customHeight="1" x14ac:dyDescent="0.2">
      <c r="B13" s="11" t="s">
        <v>14</v>
      </c>
      <c r="C13" s="26" t="s">
        <v>38</v>
      </c>
      <c r="D13" s="27"/>
      <c r="E13" s="27"/>
      <c r="F13" s="28"/>
    </row>
    <row r="14" spans="2:7" ht="100.5" customHeight="1" x14ac:dyDescent="0.2">
      <c r="B14" s="11"/>
      <c r="C14" s="26" t="s">
        <v>41</v>
      </c>
      <c r="D14" s="27"/>
      <c r="E14" s="27"/>
      <c r="F14" s="28"/>
    </row>
    <row r="15" spans="2:7" ht="29" customHeight="1" x14ac:dyDescent="0.2">
      <c r="B15" s="11"/>
      <c r="C15" s="26" t="s">
        <v>42</v>
      </c>
      <c r="D15" s="27"/>
      <c r="E15" s="27"/>
      <c r="F15" s="28"/>
    </row>
    <row r="16" spans="2:7" ht="60" customHeight="1" x14ac:dyDescent="0.2">
      <c r="B16" s="3" t="s">
        <v>15</v>
      </c>
      <c r="C16" s="26" t="s">
        <v>40</v>
      </c>
      <c r="D16" s="27"/>
      <c r="E16" s="27"/>
      <c r="F16" s="28"/>
    </row>
    <row r="17" spans="2:6" x14ac:dyDescent="0.2">
      <c r="B17" s="10"/>
      <c r="C17" s="10"/>
      <c r="D17" s="10"/>
      <c r="E17" s="10"/>
    </row>
    <row r="18" spans="2:6" ht="10.5" x14ac:dyDescent="0.2">
      <c r="B18" s="8" t="s">
        <v>16</v>
      </c>
      <c r="C18" s="8" t="s">
        <v>0</v>
      </c>
      <c r="D18" s="8" t="s">
        <v>17</v>
      </c>
      <c r="E18" s="8" t="s">
        <v>18</v>
      </c>
      <c r="F18" s="8" t="s">
        <v>19</v>
      </c>
    </row>
    <row r="19" spans="2:6" x14ac:dyDescent="0.2">
      <c r="B19" s="12" t="s">
        <v>20</v>
      </c>
      <c r="C19" s="12" t="str">
        <f>YEAR(D19)&amp;"-"&amp;"W"&amp;TEXT(WEEKNUM(D19,21),"0#")</f>
        <v>2025-W46</v>
      </c>
      <c r="D19" s="13">
        <v>45971</v>
      </c>
      <c r="E19" s="13">
        <f xml:space="preserve"> D19+(6-WEEKDAY(D19,3))</f>
        <v>45977</v>
      </c>
      <c r="F19" s="19" t="s">
        <v>21</v>
      </c>
    </row>
    <row r="20" spans="2:6" x14ac:dyDescent="0.2">
      <c r="B20" s="12"/>
      <c r="C20" s="12" t="str">
        <f>YEAR(D20)&amp;"-"&amp;"W"&amp;TEXT(WEEKNUM(D20,21),"0#")</f>
        <v>2025-W47</v>
      </c>
      <c r="D20" s="13">
        <f>D19+( 7-WEEKDAY(D19,3))</f>
        <v>45978</v>
      </c>
      <c r="E20" s="13">
        <f xml:space="preserve"> D20+(6-WEEKDAY(D20,3))</f>
        <v>45984</v>
      </c>
      <c r="F20" s="19" t="s">
        <v>21</v>
      </c>
    </row>
    <row r="21" spans="2:6" x14ac:dyDescent="0.2">
      <c r="B21" s="12" t="s">
        <v>22</v>
      </c>
      <c r="C21" s="12" t="str">
        <f t="shared" ref="C21:C31" si="0">YEAR(D21)&amp;"-"&amp;"W"&amp;TEXT(WEEKNUM(D21,21),"0#")</f>
        <v>2025-W48</v>
      </c>
      <c r="D21" s="13">
        <f t="shared" ref="D21:D31" si="1">D20+( 7-WEEKDAY(D20,3))</f>
        <v>45985</v>
      </c>
      <c r="E21" s="13">
        <f t="shared" ref="E21:E31" si="2" xml:space="preserve"> D21+(6-WEEKDAY(D21,3))</f>
        <v>45991</v>
      </c>
      <c r="F21" s="19" t="s">
        <v>21</v>
      </c>
    </row>
    <row r="22" spans="2:6" x14ac:dyDescent="0.2">
      <c r="B22" s="12"/>
      <c r="C22" s="12" t="str">
        <f t="shared" si="0"/>
        <v>2025-W49</v>
      </c>
      <c r="D22" s="13">
        <f t="shared" si="1"/>
        <v>45992</v>
      </c>
      <c r="E22" s="13">
        <f t="shared" si="2"/>
        <v>45998</v>
      </c>
      <c r="F22" s="19" t="s">
        <v>21</v>
      </c>
    </row>
    <row r="23" spans="2:6" x14ac:dyDescent="0.2">
      <c r="B23" s="12"/>
      <c r="C23" s="12" t="str">
        <f t="shared" si="0"/>
        <v>2025-W50</v>
      </c>
      <c r="D23" s="13">
        <f t="shared" si="1"/>
        <v>45999</v>
      </c>
      <c r="E23" s="13">
        <f t="shared" si="2"/>
        <v>46005</v>
      </c>
      <c r="F23" s="19" t="s">
        <v>21</v>
      </c>
    </row>
    <row r="24" spans="2:6" x14ac:dyDescent="0.2">
      <c r="B24" s="12"/>
      <c r="C24" s="12" t="str">
        <f t="shared" si="0"/>
        <v>2025-W51</v>
      </c>
      <c r="D24" s="13">
        <f t="shared" si="1"/>
        <v>46006</v>
      </c>
      <c r="E24" s="13">
        <f t="shared" si="2"/>
        <v>46012</v>
      </c>
      <c r="F24" s="19" t="s">
        <v>21</v>
      </c>
    </row>
    <row r="25" spans="2:6" x14ac:dyDescent="0.2">
      <c r="B25" s="12"/>
      <c r="C25" s="12" t="str">
        <f t="shared" si="0"/>
        <v>2025-W52</v>
      </c>
      <c r="D25" s="13">
        <f t="shared" si="1"/>
        <v>46013</v>
      </c>
      <c r="E25" s="13">
        <f t="shared" si="2"/>
        <v>46019</v>
      </c>
      <c r="F25" s="19" t="s">
        <v>21</v>
      </c>
    </row>
    <row r="26" spans="2:6" x14ac:dyDescent="0.2">
      <c r="B26" s="12"/>
      <c r="C26" s="12" t="str">
        <f t="shared" si="0"/>
        <v>2025-W01</v>
      </c>
      <c r="D26" s="13">
        <f t="shared" si="1"/>
        <v>46020</v>
      </c>
      <c r="E26" s="13">
        <f t="shared" si="2"/>
        <v>46026</v>
      </c>
      <c r="F26" s="19" t="s">
        <v>21</v>
      </c>
    </row>
    <row r="27" spans="2:6" x14ac:dyDescent="0.2">
      <c r="B27" s="12"/>
      <c r="C27" s="12" t="str">
        <f t="shared" si="0"/>
        <v>2026-W02</v>
      </c>
      <c r="D27" s="13">
        <f t="shared" si="1"/>
        <v>46027</v>
      </c>
      <c r="E27" s="13">
        <f t="shared" si="2"/>
        <v>46033</v>
      </c>
      <c r="F27" s="18" t="s">
        <v>23</v>
      </c>
    </row>
    <row r="28" spans="2:6" x14ac:dyDescent="0.2">
      <c r="B28" s="12"/>
      <c r="C28" s="12" t="str">
        <f t="shared" si="0"/>
        <v>2026-W03</v>
      </c>
      <c r="D28" s="13">
        <f t="shared" si="1"/>
        <v>46034</v>
      </c>
      <c r="E28" s="13">
        <f t="shared" si="2"/>
        <v>46040</v>
      </c>
      <c r="F28" s="20" t="s">
        <v>24</v>
      </c>
    </row>
    <row r="29" spans="2:6" x14ac:dyDescent="0.2">
      <c r="B29" s="12"/>
      <c r="C29" s="12" t="str">
        <f t="shared" si="0"/>
        <v>2026-W04</v>
      </c>
      <c r="D29" s="13">
        <f t="shared" si="1"/>
        <v>46041</v>
      </c>
      <c r="E29" s="13">
        <f t="shared" si="2"/>
        <v>46047</v>
      </c>
      <c r="F29" s="14" t="s">
        <v>24</v>
      </c>
    </row>
    <row r="30" spans="2:6" x14ac:dyDescent="0.2">
      <c r="B30" s="12" t="s">
        <v>28</v>
      </c>
      <c r="C30" s="12" t="str">
        <f t="shared" si="0"/>
        <v>2026-W05</v>
      </c>
      <c r="D30" s="13">
        <f t="shared" si="1"/>
        <v>46048</v>
      </c>
      <c r="E30" s="13">
        <f t="shared" si="2"/>
        <v>46054</v>
      </c>
      <c r="F30" s="14" t="s">
        <v>24</v>
      </c>
    </row>
    <row r="31" spans="2:6" x14ac:dyDescent="0.2">
      <c r="B31" s="12" t="s">
        <v>29</v>
      </c>
      <c r="C31" s="12" t="str">
        <f t="shared" si="0"/>
        <v>2026-W06</v>
      </c>
      <c r="D31" s="13">
        <f t="shared" si="1"/>
        <v>46055</v>
      </c>
      <c r="E31" s="13">
        <f t="shared" si="2"/>
        <v>46061</v>
      </c>
      <c r="F31" s="14" t="s">
        <v>24</v>
      </c>
    </row>
    <row r="33" spans="2:6" ht="10.5" x14ac:dyDescent="0.2">
      <c r="B33" s="8" t="s">
        <v>25</v>
      </c>
      <c r="C33" s="8"/>
      <c r="D33" s="8"/>
      <c r="E33" s="8"/>
      <c r="F33" s="8"/>
    </row>
    <row r="34" spans="2:6" ht="55" customHeight="1" x14ac:dyDescent="0.2">
      <c r="B34" s="3" t="s">
        <v>26</v>
      </c>
      <c r="C34" s="23" t="s">
        <v>30</v>
      </c>
      <c r="D34" s="23"/>
      <c r="E34" s="23"/>
      <c r="F34" s="23"/>
    </row>
    <row r="36" spans="2:6" ht="10.5" x14ac:dyDescent="0.2">
      <c r="B36" s="8" t="s">
        <v>27</v>
      </c>
      <c r="C36" s="8"/>
      <c r="D36" s="8"/>
      <c r="E36" s="8"/>
      <c r="F36" s="8"/>
    </row>
    <row r="37" spans="2:6" ht="61" customHeight="1" x14ac:dyDescent="0.2">
      <c r="B37" s="3" t="s">
        <v>35</v>
      </c>
      <c r="C37" s="23" t="s">
        <v>36</v>
      </c>
      <c r="D37" s="23"/>
      <c r="E37" s="23"/>
      <c r="F37" s="23"/>
    </row>
  </sheetData>
  <mergeCells count="8">
    <mergeCell ref="C37:F37"/>
    <mergeCell ref="D9:F9"/>
    <mergeCell ref="C12:F12"/>
    <mergeCell ref="C13:F13"/>
    <mergeCell ref="C16:F16"/>
    <mergeCell ref="C34:F34"/>
    <mergeCell ref="C14:F14"/>
    <mergeCell ref="C15:F15"/>
  </mergeCells>
  <conditionalFormatting sqref="C24:D30">
    <cfRule type="containsText" dxfId="2" priority="1" operator="containsText" text="CRITICAL">
      <formula>NOT(ISERROR(SEARCH("CRITICAL",C24)))</formula>
    </cfRule>
    <cfRule type="containsText" dxfId="1" priority="2" operator="containsText" text="WARNING">
      <formula>NOT(ISERROR(SEARCH("WARNING",C24)))</formula>
    </cfRule>
    <cfRule type="containsText" dxfId="0" priority="3" operator="containsText" text="OK">
      <formula>NOT(ISERROR(SEARCH("OK",C24)))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W9-9.Jan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Tony Nguyen</cp:lastModifiedBy>
  <cp:revision/>
  <dcterms:created xsi:type="dcterms:W3CDTF">2023-06-12T15:04:10Z</dcterms:created>
  <dcterms:modified xsi:type="dcterms:W3CDTF">2026-01-09T11:01:03Z</dcterms:modified>
  <cp:category/>
  <cp:contentStatus/>
</cp:coreProperties>
</file>