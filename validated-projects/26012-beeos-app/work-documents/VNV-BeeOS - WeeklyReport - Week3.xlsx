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5642" documentId="11_E3635A91D89360E2088FC70966A6DD3BA462BE81" xr6:coauthVersionLast="47" xr6:coauthVersionMax="47" xr10:uidLastSave="{42AE0FFC-FA93-4DD1-B363-61BF0FDD3BDF}"/>
  <bookViews>
    <workbookView xWindow="-110" yWindow="-110" windowWidth="19420" windowHeight="11500" xr2:uid="{00000000-000D-0000-FFFF-FFFF00000000}"/>
  </bookViews>
  <sheets>
    <sheet name="W3-28.Nov" sheetId="2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0" l="1"/>
  <c r="D20" i="20" s="1"/>
  <c r="E18" i="20"/>
  <c r="C18" i="20"/>
  <c r="D21" i="20" l="1"/>
  <c r="E20" i="20"/>
  <c r="C20" i="20"/>
  <c r="C19" i="20"/>
  <c r="E19" i="20"/>
  <c r="D22" i="20" l="1"/>
  <c r="E21" i="20"/>
  <c r="C21" i="20"/>
  <c r="E22" i="20" l="1"/>
  <c r="C22" i="20"/>
  <c r="D23" i="20"/>
  <c r="D24" i="20" l="1"/>
  <c r="E23" i="20"/>
  <c r="C23" i="20"/>
  <c r="D25" i="20" l="1"/>
  <c r="E24" i="20"/>
  <c r="C24" i="20"/>
  <c r="D26" i="20" l="1"/>
  <c r="E25" i="20"/>
  <c r="C25" i="20"/>
  <c r="E26" i="20" l="1"/>
  <c r="C26" i="20"/>
  <c r="D27" i="20"/>
  <c r="D28" i="20" l="1"/>
  <c r="C27" i="20"/>
  <c r="E27" i="20"/>
  <c r="D29" i="20" l="1"/>
  <c r="E28" i="20"/>
  <c r="C28" i="20"/>
  <c r="D30" i="20" l="1"/>
  <c r="C29" i="20"/>
  <c r="E29" i="20"/>
  <c r="E30" i="20" l="1"/>
  <c r="C30" i="20"/>
</calcChain>
</file>

<file path=xl/sharedStrings.xml><?xml version="1.0" encoding="utf-8"?>
<sst xmlns="http://schemas.openxmlformats.org/spreadsheetml/2006/main" count="51" uniqueCount="40">
  <si>
    <t>Development</t>
  </si>
  <si>
    <t>BeeOS</t>
  </si>
  <si>
    <t>% hoàn thành</t>
  </si>
  <si>
    <t>Requirement + Design</t>
  </si>
  <si>
    <t>Tuần</t>
  </si>
  <si>
    <t>Tên dự án</t>
  </si>
  <si>
    <t>Thời gian thực hiện</t>
  </si>
  <si>
    <t>10.11.2025</t>
  </si>
  <si>
    <t>12.02.2026</t>
  </si>
  <si>
    <t>Trưởng dự án</t>
  </si>
  <si>
    <t>Quản lý khách hàng</t>
  </si>
  <si>
    <t>Tony (Vinova)</t>
  </si>
  <si>
    <t>Audrey (Vinova)</t>
  </si>
  <si>
    <t>Tóm lược</t>
  </si>
  <si>
    <t>Thông tin chung</t>
  </si>
  <si>
    <t>Công việc trong tuần</t>
  </si>
  <si>
    <t>Dự tính tuần tiếp theo</t>
  </si>
  <si>
    <t>Những trở ngại cần hỗ trợ</t>
  </si>
  <si>
    <t>Các mốc quan trọng</t>
  </si>
  <si>
    <t>Quản lý Rủi ro</t>
  </si>
  <si>
    <t>Từ ngày</t>
  </si>
  <si>
    <t>Đến ngày</t>
  </si>
  <si>
    <t>Trạng thái</t>
  </si>
  <si>
    <t>Thử nghiệp</t>
  </si>
  <si>
    <t>Sử dụng thức tế</t>
  </si>
  <si>
    <t>Links tham khảo thêm</t>
  </si>
  <si>
    <t>Chờ đến lượt</t>
  </si>
  <si>
    <t>Đang tiến hành</t>
  </si>
  <si>
    <t>BeeOS - Báo cáo - Tuần 3</t>
  </si>
  <si>
    <t>28.11.2025</t>
  </si>
  <si>
    <t>Đã qua</t>
  </si>
  <si>
    <t>Tài liệu chia sẻ</t>
  </si>
  <si>
    <t>- Danh sách công việc và trạng thái
- Báo cáo tuần
&gt;&gt;&gt; Link tham khảo:  https://1drv.ms/f/c/e54d77a9688661eb/Eh-k0gWYkp9IoZHzEl4lt8gBjHtoEvToZOHHz7i9BkCHWQ?e=6ZjilW</t>
  </si>
  <si>
    <t>1. Tiếp tục thảo luận và thống nhất thiết kế giao diện (design) của toàn bộ các tính năng của dự án càng sớm càng tốt. 
  &gt;&gt;&gt; Dự định hoàn tất trong tuần sau (Hạn định: 05.12.2025) -&gt; VNV+BeeOS cùng phối hợp
2. Team tiếp tục nghiên cứu hồ sơ dữ liệu những năm cũ chuẩn bị cho việc di dời dữ liệu cũ qua hệ thống mới (dữ liệu lưu trong database, dữ liệu file/folder)
  &gt;&gt;&gt; Dự kiến import 1 số dữ liệu cơ bản Cấp đơn vào database (Hạn định: 05.12.2025)</t>
  </si>
  <si>
    <r>
      <rPr>
        <b/>
        <sz val="8"/>
        <color theme="1"/>
        <rFont val="Arial"/>
        <family val="2"/>
      </rPr>
      <t>Phần 1: Phân tích yêu cầu (Requirement)</t>
    </r>
    <r>
      <rPr>
        <sz val="8"/>
        <color theme="1"/>
        <rFont val="Arial"/>
        <family val="2"/>
      </rPr>
      <t xml:space="preserve">
- Tiếp tục làm rõ chi tiết yêu cầu nghiệp vụ, transfer lại cho team, hỗ trợ giả đáp những yêu cầu nghiệp vụ cho những tính năng sẽ làm trong tuần.
</t>
    </r>
    <r>
      <rPr>
        <b/>
        <sz val="8"/>
        <color theme="1"/>
        <rFont val="Arial"/>
        <family val="2"/>
      </rPr>
      <t xml:space="preserve">Phần 2: Thiết kế giao diện (Design)
</t>
    </r>
    <r>
      <rPr>
        <sz val="8"/>
        <color theme="1"/>
        <rFont val="Arial"/>
        <family val="2"/>
      </rPr>
      <t xml:space="preserve">- Tiếp tục cập nhật những phản hồi từ BeeVN (nếu có).
- Thiết kế cho những tính năng bổ trợ khác (quản lý Danh sách KH, quản lý công ty bảo hiểm, quản lý công ty giám định)
- Thiết kế tính năng nhắc nhở (reminders)
- Thiết kế tính năng xem lịch sử thao tác (activity tracking)
</t>
    </r>
    <r>
      <rPr>
        <b/>
        <sz val="8"/>
        <color theme="1"/>
        <rFont val="Arial"/>
        <family val="2"/>
      </rPr>
      <t>Phần 3: Lập trình</t>
    </r>
    <r>
      <rPr>
        <sz val="8"/>
        <color theme="1"/>
        <rFont val="Arial"/>
        <family val="2"/>
      </rPr>
      <t xml:space="preserve">
- Tiếp tục lập trình các tính năng đang làm và 1 số tính năng mới, bao gồm:
  + Tài khoản: Quên mật khẩu
  + Quản lý chung: Quản lý KH, quản lý loại hình BH, quản lý điều khoản bổ xung, quản lý công ty BH, quản lý nhóm rủi ro.
  + Cấp đơn: Thêm tính năng: phê duyệt lần 1, 2 dành cho leader, xem chi tiết hồ sơ cấp đơn.</t>
    </r>
  </si>
  <si>
    <r>
      <rPr>
        <b/>
        <sz val="8"/>
        <color theme="1"/>
        <rFont val="Arial"/>
        <family val="2"/>
      </rPr>
      <t>Phần 1: Phân tích yêu cầu (Requirement)</t>
    </r>
    <r>
      <rPr>
        <sz val="8"/>
        <color theme="1"/>
        <rFont val="Arial"/>
        <family val="2"/>
      </rPr>
      <t xml:space="preserve">
- Tiếp tục làm rõ chi tiết yêu cầu nghiệp vụ, transfer lại cho team (Tính năng tạo phụ lục HĐ, những thay đổi gần đây liên quan đến luồng cấp đơn, phê duyệt, định nghĩa danh sách các thông báo lỗi và quy tắc tạo mã HĐ và bồi thường tự động (ví dụ: HD-26122025-0001, BT-26122025-0002)
</t>
    </r>
    <r>
      <rPr>
        <b/>
        <sz val="8"/>
        <color theme="1"/>
        <rFont val="Arial"/>
        <family val="2"/>
      </rPr>
      <t>Phần 2: Thiết kế giao diện (Design)</t>
    </r>
    <r>
      <rPr>
        <sz val="8"/>
        <color theme="1"/>
        <rFont val="Arial"/>
        <family val="2"/>
      </rPr>
      <t xml:space="preserve">
- Tiếp tục cập nhật những phản hồi cho luồng cấp đơn, phê duyệt dành cho leader, mobile responsive phê duyệt bao gồm phụ lục HĐ.
</t>
    </r>
    <r>
      <rPr>
        <b/>
        <sz val="8"/>
        <color theme="1"/>
        <rFont val="Arial"/>
        <family val="2"/>
      </rPr>
      <t>Phần 3: Lập trình</t>
    </r>
    <r>
      <rPr>
        <sz val="8"/>
        <color theme="1"/>
        <rFont val="Arial"/>
        <family val="2"/>
      </rPr>
      <t xml:space="preserve">
- Bắt đầu lập trình các tính năng được phân công. 
  + Tài khoản:  Đăng nhập (với Email và mật khẩu) &amp; (có hỗ trợ tích hợp Gmail)
  + Quản lý chung: Đã lập trình các tính năng: Quản lý địa điểm, quản lý phạm vi BH, quản lý khấu trừ và chờ QC kiểm chứng.
  + Cấp đơn: Đang lập trình luống tạo hồ sơ cấp đơn mới, xem danh sách hợp đồng BH, xem danh sách hồ sơ BH cần phê duyệt dành cho Leader.
&gt;&gt;&gt; Tham khảo link sau để biết thêm chi tiết: "https://1drv.ms/x/c/e54d77a9688661eb/EQ9Z2VQgjatOs3dkcqwRxqEBn0UTvzBuhDrdL41MsB49-w?e=jGwN1a"</t>
    </r>
  </si>
  <si>
    <r>
      <t>Rủi ro #1: Di dời dữ liệu cũ (data migration): Có thể sẽ mất nhiều thời gian nghiên cứu và không đáp ứng di dời được hết toàn bộ dữ liệu cũ.
  + (Xong) BeeVN đã cung cấp file excels (tổng hợp theo dõi cấp đơn (mock), theo dõi trạng thái bồi thường (mock)) và files/folders để team tham khảo.
&gt;&gt;&gt; (</t>
    </r>
    <r>
      <rPr>
        <sz val="8"/>
        <color rgb="FF0000FF"/>
        <rFont val="Arial"/>
        <family val="2"/>
      </rPr>
      <t>Đang lên kế khoạch</t>
    </r>
    <r>
      <rPr>
        <sz val="8"/>
        <color theme="1"/>
        <rFont val="Arial"/>
        <family val="2"/>
      </rPr>
      <t>) Import 1 số dữ liệu cơ bản Cấp đơn vào database (Hạn định: 05.12.2025)
&gt;&gt;&gt; (</t>
    </r>
    <r>
      <rPr>
        <sz val="8"/>
        <color rgb="FF0000FF"/>
        <rFont val="Arial"/>
        <family val="2"/>
      </rPr>
      <t>Đang theo dõi</t>
    </r>
    <r>
      <rPr>
        <sz val="8"/>
        <color theme="1"/>
        <rFont val="Arial"/>
        <family val="2"/>
      </rPr>
      <t>) Team cần nghiên cứu đưa giải pháp và cho biết % có thể di dời qua hệ thống mới.(bao gồm di dời files/folders.
Rủi ro #2: 1 số yêu cầu mới vẫn có thể phát sinh trong quá trình làm rõ yêu cầu và giai đoạn lập trình dấn đến ảnh hưởng đến tiến độ dự án.
&gt;&gt;&gt; (</t>
    </r>
    <r>
      <rPr>
        <sz val="8"/>
        <color rgb="FF0000FF"/>
        <rFont val="Arial"/>
        <family val="2"/>
      </rPr>
      <t>Đang theo dõi</t>
    </r>
    <r>
      <rPr>
        <sz val="8"/>
        <color theme="1"/>
        <rFont val="Arial"/>
        <family val="2"/>
      </rPr>
      <t xml:space="preserve">) Mong đợi đến 05.12.2025 sẽ xong danh sách tính năng và design của toàn bộ dự án. </t>
    </r>
  </si>
  <si>
    <t>24.11.2025</t>
  </si>
  <si>
    <t xml:space="preserve">Những điểm nổi bật:
- Đã làm rõ yêu cầu "Phụ lục HĐ" và mối quan hệ với hợp đồng chính.
- Tiếp tục cập nhật những phản hồi cho luồng cấp đơn, phê duyệt dành cho leader, mobile responsive phê duyệt bao gồm phụ lục HĐ.
- Tập trung luồng cấp đơn mới và những tính năng bổ trợ (quản lý địa điểm, quản lý phạm vi BH, quản lý khấu trừ)
</t>
  </si>
  <si>
    <t>6%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</si>
</sst>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0"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8">
    <xf numFmtId="0" fontId="0" fillId="0" borderId="0" xfId="0"/>
    <xf numFmtId="0" fontId="1" fillId="0" borderId="0" xfId="0" applyFont="1"/>
    <xf numFmtId="0" fontId="6" fillId="0" borderId="0" xfId="0" applyFont="1"/>
    <xf numFmtId="0" fontId="1" fillId="0" borderId="1" xfId="0" applyFont="1" applyBorder="1" applyAlignment="1">
      <alignment horizontal="left" vertical="top"/>
    </xf>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F34"/>
  <sheetViews>
    <sheetView tabSelected="1" topLeftCell="A13" zoomScale="160" zoomScaleNormal="160" workbookViewId="0">
      <selection activeCell="C14" sqref="C14:F14"/>
    </sheetView>
  </sheetViews>
  <sheetFormatPr defaultRowHeight="10" x14ac:dyDescent="0.2"/>
  <cols>
    <col min="1" max="1" width="1.6328125" style="1" customWidth="1"/>
    <col min="2" max="2" width="15.6328125" style="1" customWidth="1"/>
    <col min="3" max="3" width="10.6328125" style="1" customWidth="1"/>
    <col min="4" max="4" width="18.54296875" style="1" customWidth="1"/>
    <col min="5" max="6" width="15.6328125" style="1" customWidth="1"/>
    <col min="7" max="7" width="14.1796875" style="1" customWidth="1"/>
    <col min="8" max="16384" width="8.7265625" style="1"/>
  </cols>
  <sheetData>
    <row r="1" spans="2:6" ht="18" x14ac:dyDescent="0.4">
      <c r="B1" s="2" t="s">
        <v>28</v>
      </c>
      <c r="C1" s="5"/>
      <c r="D1" s="6"/>
    </row>
    <row r="2" spans="2:6" x14ac:dyDescent="0.2">
      <c r="B2" s="7"/>
      <c r="C2" s="8"/>
      <c r="D2" s="8"/>
    </row>
    <row r="3" spans="2:6" ht="10.5" x14ac:dyDescent="0.2">
      <c r="B3" s="9" t="s">
        <v>4</v>
      </c>
      <c r="C3" s="3" t="s">
        <v>37</v>
      </c>
      <c r="D3" s="10" t="s">
        <v>29</v>
      </c>
      <c r="E3" s="11"/>
    </row>
    <row r="4" spans="2:6" ht="10.5" x14ac:dyDescent="0.2">
      <c r="B4" s="9" t="s">
        <v>5</v>
      </c>
      <c r="C4" s="12" t="s">
        <v>1</v>
      </c>
      <c r="D4" s="11"/>
      <c r="E4" s="11"/>
    </row>
    <row r="5" spans="2:6" ht="10.5" x14ac:dyDescent="0.2">
      <c r="B5" s="9" t="s">
        <v>6</v>
      </c>
      <c r="C5" s="10" t="s">
        <v>7</v>
      </c>
      <c r="D5" s="16" t="s">
        <v>8</v>
      </c>
      <c r="E5" s="11"/>
    </row>
    <row r="6" spans="2:6" ht="10.5" x14ac:dyDescent="0.2">
      <c r="B6" s="9" t="s">
        <v>9</v>
      </c>
      <c r="C6" s="12" t="s">
        <v>11</v>
      </c>
      <c r="D6" s="9" t="s">
        <v>10</v>
      </c>
      <c r="E6" s="12" t="s">
        <v>12</v>
      </c>
    </row>
    <row r="7" spans="2:6" x14ac:dyDescent="0.2">
      <c r="B7" s="11"/>
      <c r="C7" s="11"/>
      <c r="D7" s="11"/>
      <c r="E7" s="11"/>
    </row>
    <row r="8" spans="2:6" ht="10.5" x14ac:dyDescent="0.2">
      <c r="B8" s="9" t="s">
        <v>14</v>
      </c>
      <c r="C8" s="9"/>
      <c r="D8" s="9"/>
      <c r="E8" s="9"/>
      <c r="F8" s="9"/>
    </row>
    <row r="9" spans="2:6" ht="75" customHeight="1" x14ac:dyDescent="0.2">
      <c r="B9" s="17" t="s">
        <v>2</v>
      </c>
      <c r="C9" s="18" t="s">
        <v>39</v>
      </c>
      <c r="D9" s="23" t="s">
        <v>38</v>
      </c>
      <c r="E9" s="24"/>
      <c r="F9" s="24"/>
    </row>
    <row r="10" spans="2:6" x14ac:dyDescent="0.2">
      <c r="B10" s="12"/>
      <c r="C10" s="12"/>
      <c r="D10" s="11"/>
      <c r="E10" s="11"/>
      <c r="F10" s="11"/>
    </row>
    <row r="11" spans="2:6" ht="10.5" x14ac:dyDescent="0.2">
      <c r="B11" s="9" t="s">
        <v>13</v>
      </c>
      <c r="C11" s="9"/>
      <c r="D11" s="9"/>
      <c r="E11" s="9"/>
      <c r="F11" s="9"/>
    </row>
    <row r="12" spans="2:6" ht="218" customHeight="1" x14ac:dyDescent="0.2">
      <c r="B12" s="12" t="s">
        <v>15</v>
      </c>
      <c r="C12" s="25" t="s">
        <v>35</v>
      </c>
      <c r="D12" s="26"/>
      <c r="E12" s="26"/>
      <c r="F12" s="27"/>
    </row>
    <row r="13" spans="2:6" ht="191.5" customHeight="1" x14ac:dyDescent="0.2">
      <c r="B13" s="12" t="s">
        <v>16</v>
      </c>
      <c r="C13" s="25" t="s">
        <v>34</v>
      </c>
      <c r="D13" s="26"/>
      <c r="E13" s="26"/>
      <c r="F13" s="27"/>
    </row>
    <row r="14" spans="2:6" ht="68" customHeight="1" x14ac:dyDescent="0.2">
      <c r="B14" s="4" t="s">
        <v>17</v>
      </c>
      <c r="C14" s="25" t="s">
        <v>33</v>
      </c>
      <c r="D14" s="26"/>
      <c r="E14" s="26"/>
      <c r="F14" s="27"/>
    </row>
    <row r="15" spans="2:6" ht="136" customHeight="1" x14ac:dyDescent="0.2">
      <c r="B15" s="4" t="s">
        <v>19</v>
      </c>
      <c r="C15" s="25" t="s">
        <v>36</v>
      </c>
      <c r="D15" s="26"/>
      <c r="E15" s="26"/>
      <c r="F15" s="27"/>
    </row>
    <row r="16" spans="2:6" x14ac:dyDescent="0.2">
      <c r="B16" s="11"/>
      <c r="C16" s="11"/>
      <c r="D16" s="11"/>
      <c r="E16" s="11"/>
    </row>
    <row r="17" spans="2:6" ht="10.5" x14ac:dyDescent="0.2">
      <c r="B17" s="9" t="s">
        <v>18</v>
      </c>
      <c r="C17" s="9" t="s">
        <v>4</v>
      </c>
      <c r="D17" s="9" t="s">
        <v>20</v>
      </c>
      <c r="E17" s="9" t="s">
        <v>21</v>
      </c>
      <c r="F17" s="9" t="s">
        <v>22</v>
      </c>
    </row>
    <row r="18" spans="2:6" x14ac:dyDescent="0.2">
      <c r="B18" s="13" t="s">
        <v>3</v>
      </c>
      <c r="C18" s="13" t="str">
        <f>YEAR(D18)&amp;"-"&amp;"W"&amp;TEXT(WEEKNUM(D18,21),"0#")</f>
        <v>2025-W46</v>
      </c>
      <c r="D18" s="14">
        <v>45971</v>
      </c>
      <c r="E18" s="14">
        <f xml:space="preserve"> D18+(6-WEEKDAY(D18,3))</f>
        <v>45977</v>
      </c>
      <c r="F18" s="20" t="s">
        <v>30</v>
      </c>
    </row>
    <row r="19" spans="2:6" x14ac:dyDescent="0.2">
      <c r="B19" s="13"/>
      <c r="C19" s="13" t="str">
        <f>YEAR(D19)&amp;"-"&amp;"W"&amp;TEXT(WEEKNUM(D19,21),"0#")</f>
        <v>2025-W47</v>
      </c>
      <c r="D19" s="14">
        <f>D18+( 7-WEEKDAY(D18,3))</f>
        <v>45978</v>
      </c>
      <c r="E19" s="14">
        <f xml:space="preserve"> D19+(6-WEEKDAY(D19,3))</f>
        <v>45984</v>
      </c>
      <c r="F19" s="20" t="s">
        <v>30</v>
      </c>
    </row>
    <row r="20" spans="2:6" x14ac:dyDescent="0.2">
      <c r="B20" s="13" t="s">
        <v>0</v>
      </c>
      <c r="C20" s="13" t="str">
        <f t="shared" ref="C20:C30" si="0">YEAR(D20)&amp;"-"&amp;"W"&amp;TEXT(WEEKNUM(D20,21),"0#")</f>
        <v>2025-W48</v>
      </c>
      <c r="D20" s="14">
        <f t="shared" ref="D20:D30" si="1">D19+( 7-WEEKDAY(D19,3))</f>
        <v>45985</v>
      </c>
      <c r="E20" s="14">
        <f t="shared" ref="E20:E30" si="2" xml:space="preserve"> D20+(6-WEEKDAY(D20,3))</f>
        <v>45991</v>
      </c>
      <c r="F20" s="19" t="s">
        <v>27</v>
      </c>
    </row>
    <row r="21" spans="2:6" x14ac:dyDescent="0.2">
      <c r="B21" s="13"/>
      <c r="C21" s="13" t="str">
        <f t="shared" si="0"/>
        <v>2025-W49</v>
      </c>
      <c r="D21" s="14">
        <f t="shared" si="1"/>
        <v>45992</v>
      </c>
      <c r="E21" s="14">
        <f t="shared" si="2"/>
        <v>45998</v>
      </c>
      <c r="F21" s="21" t="s">
        <v>26</v>
      </c>
    </row>
    <row r="22" spans="2:6" x14ac:dyDescent="0.2">
      <c r="B22" s="13"/>
      <c r="C22" s="13" t="str">
        <f t="shared" si="0"/>
        <v>2025-W50</v>
      </c>
      <c r="D22" s="14">
        <f t="shared" si="1"/>
        <v>45999</v>
      </c>
      <c r="E22" s="14">
        <f t="shared" si="2"/>
        <v>46005</v>
      </c>
      <c r="F22" s="15" t="s">
        <v>26</v>
      </c>
    </row>
    <row r="23" spans="2:6" x14ac:dyDescent="0.2">
      <c r="B23" s="13"/>
      <c r="C23" s="13" t="str">
        <f t="shared" si="0"/>
        <v>2025-W51</v>
      </c>
      <c r="D23" s="14">
        <f t="shared" si="1"/>
        <v>46006</v>
      </c>
      <c r="E23" s="14">
        <f t="shared" si="2"/>
        <v>46012</v>
      </c>
      <c r="F23" s="15" t="s">
        <v>26</v>
      </c>
    </row>
    <row r="24" spans="2:6" x14ac:dyDescent="0.2">
      <c r="B24" s="13"/>
      <c r="C24" s="13" t="str">
        <f t="shared" si="0"/>
        <v>2025-W52</v>
      </c>
      <c r="D24" s="14">
        <f t="shared" si="1"/>
        <v>46013</v>
      </c>
      <c r="E24" s="14">
        <f t="shared" si="2"/>
        <v>46019</v>
      </c>
      <c r="F24" s="15" t="s">
        <v>26</v>
      </c>
    </row>
    <row r="25" spans="2:6" x14ac:dyDescent="0.2">
      <c r="B25" s="13"/>
      <c r="C25" s="13" t="str">
        <f t="shared" si="0"/>
        <v>2025-W01</v>
      </c>
      <c r="D25" s="14">
        <f t="shared" si="1"/>
        <v>46020</v>
      </c>
      <c r="E25" s="14">
        <f t="shared" si="2"/>
        <v>46026</v>
      </c>
      <c r="F25" s="15" t="s">
        <v>26</v>
      </c>
    </row>
    <row r="26" spans="2:6" x14ac:dyDescent="0.2">
      <c r="B26" s="13"/>
      <c r="C26" s="13" t="str">
        <f t="shared" si="0"/>
        <v>2026-W02</v>
      </c>
      <c r="D26" s="14">
        <f t="shared" si="1"/>
        <v>46027</v>
      </c>
      <c r="E26" s="14">
        <f t="shared" si="2"/>
        <v>46033</v>
      </c>
      <c r="F26" s="15" t="s">
        <v>26</v>
      </c>
    </row>
    <row r="27" spans="2:6" x14ac:dyDescent="0.2">
      <c r="B27" s="13"/>
      <c r="C27" s="13" t="str">
        <f t="shared" si="0"/>
        <v>2026-W03</v>
      </c>
      <c r="D27" s="14">
        <f t="shared" si="1"/>
        <v>46034</v>
      </c>
      <c r="E27" s="14">
        <f t="shared" si="2"/>
        <v>46040</v>
      </c>
      <c r="F27" s="15" t="s">
        <v>26</v>
      </c>
    </row>
    <row r="28" spans="2:6" x14ac:dyDescent="0.2">
      <c r="B28" s="13"/>
      <c r="C28" s="13" t="str">
        <f t="shared" si="0"/>
        <v>2026-W04</v>
      </c>
      <c r="D28" s="14">
        <f t="shared" si="1"/>
        <v>46041</v>
      </c>
      <c r="E28" s="14">
        <f t="shared" si="2"/>
        <v>46047</v>
      </c>
      <c r="F28" s="15" t="s">
        <v>26</v>
      </c>
    </row>
    <row r="29" spans="2:6" x14ac:dyDescent="0.2">
      <c r="B29" s="13" t="s">
        <v>23</v>
      </c>
      <c r="C29" s="13" t="str">
        <f t="shared" si="0"/>
        <v>2026-W05</v>
      </c>
      <c r="D29" s="14">
        <f t="shared" si="1"/>
        <v>46048</v>
      </c>
      <c r="E29" s="14">
        <f t="shared" si="2"/>
        <v>46054</v>
      </c>
      <c r="F29" s="15" t="s">
        <v>26</v>
      </c>
    </row>
    <row r="30" spans="2:6" x14ac:dyDescent="0.2">
      <c r="B30" s="13" t="s">
        <v>24</v>
      </c>
      <c r="C30" s="13" t="str">
        <f t="shared" si="0"/>
        <v>2026-W06</v>
      </c>
      <c r="D30" s="14">
        <f t="shared" si="1"/>
        <v>46055</v>
      </c>
      <c r="E30" s="14">
        <f t="shared" si="2"/>
        <v>46061</v>
      </c>
      <c r="F30" s="15" t="s">
        <v>26</v>
      </c>
    </row>
    <row r="32" spans="2:6" ht="10.5" x14ac:dyDescent="0.2">
      <c r="B32" s="9" t="s">
        <v>25</v>
      </c>
      <c r="C32" s="9"/>
      <c r="D32" s="9"/>
      <c r="E32" s="9"/>
      <c r="F32" s="9"/>
    </row>
    <row r="33" spans="2:6" ht="55" customHeight="1" x14ac:dyDescent="0.2">
      <c r="B33" s="4" t="s">
        <v>31</v>
      </c>
      <c r="C33" s="22" t="s">
        <v>32</v>
      </c>
      <c r="D33" s="22"/>
      <c r="E33" s="22"/>
      <c r="F33" s="22"/>
    </row>
    <row r="34" spans="2:6" x14ac:dyDescent="0.2">
      <c r="B34" s="4"/>
      <c r="C34" s="22"/>
      <c r="D34" s="22"/>
      <c r="E34" s="22"/>
      <c r="F34" s="22"/>
    </row>
  </sheetData>
  <mergeCells count="7">
    <mergeCell ref="C34:F34"/>
    <mergeCell ref="D9:F9"/>
    <mergeCell ref="C12:F12"/>
    <mergeCell ref="C13:F13"/>
    <mergeCell ref="C14:F14"/>
    <mergeCell ref="C15:F15"/>
    <mergeCell ref="C33:F33"/>
  </mergeCells>
  <conditionalFormatting sqref="C23:D29">
    <cfRule type="containsText" dxfId="2" priority="1" operator="containsText" text="CRITICAL">
      <formula>NOT(ISERROR(SEARCH("CRITICAL",C23)))</formula>
    </cfRule>
    <cfRule type="containsText" dxfId="1" priority="2" operator="containsText" text="WARNING">
      <formula>NOT(ISERROR(SEARCH("WARNING",C23)))</formula>
    </cfRule>
    <cfRule type="containsText" dxfId="0" priority="3" operator="containsText" text="OK">
      <formula>NOT(ISERROR(SEARCH("OK",C23)))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W3-28.Nov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Tony Nguyen</cp:lastModifiedBy>
  <dcterms:created xsi:type="dcterms:W3CDTF">2023-06-12T15:04:10Z</dcterms:created>
  <dcterms:modified xsi:type="dcterms:W3CDTF">2025-11-30T08:15:37Z</dcterms:modified>
</cp:coreProperties>
</file>