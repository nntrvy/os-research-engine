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54d77a9688661eb/VNV-Project/BEEOS/SharedDocument/Weekly-Report/"/>
    </mc:Choice>
  </mc:AlternateContent>
  <xr:revisionPtr revIDLastSave="15889" documentId="11_E3635A91D89360E2088FC70966A6DD3BA462BE81" xr6:coauthVersionLast="47" xr6:coauthVersionMax="47" xr10:uidLastSave="{7F4F58F5-4031-4F8C-9B60-38E91520BE00}"/>
  <bookViews>
    <workbookView xWindow="-80" yWindow="-80" windowWidth="19360" windowHeight="11440" xr2:uid="{00000000-000D-0000-FFFF-FFFF00000000}"/>
  </bookViews>
  <sheets>
    <sheet name="W7-26.Dec" sheetId="2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20" l="1"/>
  <c r="D24" i="20" s="1"/>
  <c r="E22" i="20"/>
  <c r="C22" i="20"/>
  <c r="D25" i="20" l="1"/>
  <c r="E24" i="20"/>
  <c r="C24" i="20"/>
  <c r="C23" i="20"/>
  <c r="E23" i="20"/>
  <c r="D26" i="20" l="1"/>
  <c r="E25" i="20"/>
  <c r="C25" i="20"/>
  <c r="E26" i="20" l="1"/>
  <c r="C26" i="20"/>
  <c r="D27" i="20"/>
  <c r="D28" i="20" l="1"/>
  <c r="E27" i="20"/>
  <c r="C27" i="20"/>
  <c r="D29" i="20" l="1"/>
  <c r="E28" i="20"/>
  <c r="C28" i="20"/>
  <c r="D30" i="20" l="1"/>
  <c r="E29" i="20"/>
  <c r="C29" i="20"/>
  <c r="E30" i="20" l="1"/>
  <c r="C30" i="20"/>
  <c r="D31" i="20"/>
  <c r="D32" i="20" l="1"/>
  <c r="C31" i="20"/>
  <c r="E31" i="20"/>
  <c r="D33" i="20" l="1"/>
  <c r="E32" i="20"/>
  <c r="C32" i="20"/>
  <c r="D34" i="20" l="1"/>
  <c r="C33" i="20"/>
  <c r="E33" i="20"/>
  <c r="E34" i="20" l="1"/>
  <c r="C34" i="20"/>
</calcChain>
</file>

<file path=xl/sharedStrings.xml><?xml version="1.0" encoding="utf-8"?>
<sst xmlns="http://schemas.openxmlformats.org/spreadsheetml/2006/main" count="58" uniqueCount="47">
  <si>
    <t>Tuần</t>
  </si>
  <si>
    <t>Tên dự án</t>
  </si>
  <si>
    <t>BeeOS</t>
  </si>
  <si>
    <t>Thời gian thực hiện</t>
  </si>
  <si>
    <t>10.11.2025</t>
  </si>
  <si>
    <t>12.02.2026</t>
  </si>
  <si>
    <t>Trưởng dự án</t>
  </si>
  <si>
    <t>Tony (Vinova)</t>
  </si>
  <si>
    <t>Quản lý khách hàng</t>
  </si>
  <si>
    <t>Audrey (Vinova)</t>
  </si>
  <si>
    <t>Thông tin chung</t>
  </si>
  <si>
    <t>% hoàn thành</t>
  </si>
  <si>
    <t>Tóm lược</t>
  </si>
  <si>
    <t>Công việc trong tuần</t>
  </si>
  <si>
    <t>Dự tính tuần tiếp theo</t>
  </si>
  <si>
    <t>Những trở ngại cần hỗ trợ</t>
  </si>
  <si>
    <t>Quản lý Rủi ro</t>
  </si>
  <si>
    <t>Các mốc quan trọng</t>
  </si>
  <si>
    <t>Từ ngày</t>
  </si>
  <si>
    <t>Đến ngày</t>
  </si>
  <si>
    <t>Trạng thái</t>
  </si>
  <si>
    <t>Requirement + Design</t>
  </si>
  <si>
    <t>Đã qua</t>
  </si>
  <si>
    <t>Development</t>
  </si>
  <si>
    <t>Đang tiến hành</t>
  </si>
  <si>
    <t>Chờ đến lượt</t>
  </si>
  <si>
    <t>Links tham khảo thêm</t>
  </si>
  <si>
    <t>Tài liệu chia sẻ</t>
  </si>
  <si>
    <t>Other Note</t>
  </si>
  <si>
    <t>Data Migration</t>
  </si>
  <si>
    <t>Thử nghiệm</t>
  </si>
  <si>
    <t>Sử dụng thực tế</t>
  </si>
  <si>
    <r>
      <t xml:space="preserve">Cần chuẩn hóa dữ liệu để hệ thống ghi nhận dữ liệu đúng. 
</t>
    </r>
    <r>
      <rPr>
        <i/>
        <u/>
        <sz val="8"/>
        <color theme="1"/>
        <rFont val="Arial"/>
        <family val="2"/>
      </rPr>
      <t>Chú ý:</t>
    </r>
    <r>
      <rPr>
        <sz val="8"/>
        <color theme="1"/>
        <rFont val="Arial"/>
        <family val="2"/>
      </rPr>
      <t xml:space="preserve"> Dữ liệu này cũng được xem như dữ liệu thật sẽ được dùng cho production sau này. </t>
    </r>
  </si>
  <si>
    <t xml:space="preserve">1. Chuẩn hóa dữ liệu cũ để import vào hệ thống: 
&gt;&gt;&gt; Tiếp tục phối hợp với BeeVN chuẩn hóa dữ liệu cũ cần di dời để hệ thống có được những dữ liệu (bao gồm dữ liệu lưu trong database, dữ liệu file/folder) </t>
  </si>
  <si>
    <t>BeeOS - Báo cáo - Tuần 7</t>
  </si>
  <si>
    <t>22.12.2025</t>
  </si>
  <si>
    <t>26.12.2025</t>
  </si>
  <si>
    <t>50% (+23)</t>
  </si>
  <si>
    <t xml:space="preserve">1. Hoàn thành các tính năng trong phần "quản lý chung", đang tiến hành kiểm thử và fix bug.
2. 60% feedback của BeeVN ngày 17.12 đã được hỗ trợ. Do những tính năng cấp đơn phụ thuộc và những feedback này nên % completion của cấp đơn vẫn chưa tăng rõ rệt (60% hoàn thành)
3. Hoàn thành các tính năng của bồi thường, đang tiến hành kiểm thử và fix bug.
4. Data migration: Đã import khoảng 20% dữ liệu cấp đơn. </t>
  </si>
  <si>
    <t>Những điểm nổi bật:
- Đang tiếp tục hỗ trợ những feedback (ngày 17.12) và hoàn thiện 2 luồng: Cấp đơn và bồi thường. Khoảng 60% hoành thành.
- Đã import 1 số dữ liệu cấp đơn 2025, vẫn cần chuẩn hóa thêm dữ liệu chưa đúng định dạng, chưa được liên kế chặt chẽ.</t>
  </si>
  <si>
    <r>
      <rPr>
        <b/>
        <sz val="8"/>
        <color theme="1"/>
        <rFont val="Arial"/>
        <family val="2"/>
      </rPr>
      <t>Team đặt mục tiêu:</t>
    </r>
    <r>
      <rPr>
        <sz val="8"/>
        <color theme="1"/>
        <rFont val="Arial"/>
        <family val="2"/>
      </rPr>
      <t xml:space="preserve"> 
1. Tiếp tục kiểm thử và fix bugs các tính năng trong phần "quản lý chung"
2. Hỗ trợ toàn bộ những feedback của BeeVN ngày 17.12 và hoàn thành các tính năng của 2 luồng Cấp đơn và bồi thường.
3. Tiếp tục import dữ liệu cấp đơn và bồi thường (nếu dữ liệu đang chưa đúng đã được chuẩn hóa)</t>
    </r>
  </si>
  <si>
    <t xml:space="preserve">Rủi ro #1: Di dời dữ liệu cũ (data migration): Có thể sẽ mất nhiều thời gian chuẩn hóa dữ liệu đáp ứng di dời được hết toàn bộ dữ liệu cũ.
 </t>
  </si>
  <si>
    <t>- Danh sách công việc và trạng thái
- Báo cáo tuần
- Tóm tắt tình hình import data vào hệ thống mới
&gt;&gt;&gt; Link tham khảo:  https://1drv.ms/f/c/e54d77a9688661eb/Eh-k0gWYkp9IoZHzEl4lt8gBjHtoEvToZOHHz7i9BkCHWQ?e=6ZjilW</t>
  </si>
  <si>
    <r>
      <t>(</t>
    </r>
    <r>
      <rPr>
        <b/>
        <i/>
        <sz val="8"/>
        <color theme="1"/>
        <rFont val="Arial"/>
        <family val="2"/>
      </rPr>
      <t>12.Jan -&gt; 18.Jan</t>
    </r>
    <r>
      <rPr>
        <sz val="8"/>
        <color theme="1"/>
        <rFont val="Arial"/>
        <family val="2"/>
      </rPr>
      <t>) Team dự án sẽ làm việc với Vỹ (và BeeVN) setup môi trường production, import data và những cấu hình hệ thống khác có liên quan.</t>
    </r>
  </si>
  <si>
    <r>
      <t>(</t>
    </r>
    <r>
      <rPr>
        <b/>
        <i/>
        <sz val="8"/>
        <color theme="1"/>
        <rFont val="Arial"/>
        <family val="2"/>
      </rPr>
      <t>19.Jan -&gt; 25.Jan</t>
    </r>
    <r>
      <rPr>
        <sz val="8"/>
        <color theme="1"/>
        <rFont val="Arial"/>
        <family val="2"/>
      </rPr>
      <t>) Chạy thử nghiệm lấy kết quả đã đủ điều kiện GOLIVE hay chưa.</t>
    </r>
  </si>
  <si>
    <r>
      <rPr>
        <b/>
        <i/>
        <sz val="8"/>
        <color theme="1"/>
        <rFont val="Arial"/>
        <family val="2"/>
      </rPr>
      <t>(05.Jan -&gt; 11.Jan</t>
    </r>
    <r>
      <rPr>
        <sz val="8"/>
        <color theme="1"/>
        <rFont val="Arial"/>
        <family val="2"/>
      </rPr>
      <t xml:space="preserve">) Team dự án sẽ mời Vỹ (và BeeVN) vào môi trường Vinova's Staging trải nghiệm thử tính năng (cấp đơn, bồi thường và những tính năng chung) --&gt; sẽ gửi thông tin sau.
</t>
    </r>
    <r>
      <rPr>
        <i/>
        <u/>
        <sz val="8"/>
        <color theme="1"/>
        <rFont val="Arial"/>
        <family val="2"/>
      </rPr>
      <t>Team dự án cần Vỹ hỗ trợ:</t>
    </r>
    <r>
      <rPr>
        <sz val="8"/>
        <color theme="1"/>
        <rFont val="Arial"/>
        <family val="2"/>
      </rPr>
      <t xml:space="preserve">
Chuẩn bị 1 môi trường production (hosting, domain, ...)
       &gt;&gt;&gt; Mong muốn hoành thành: </t>
    </r>
    <r>
      <rPr>
        <b/>
        <sz val="8"/>
        <color theme="1"/>
        <rFont val="Arial"/>
        <family val="2"/>
      </rPr>
      <t>11.Jan.2026</t>
    </r>
  </si>
  <si>
    <r>
      <t>(</t>
    </r>
    <r>
      <rPr>
        <b/>
        <i/>
        <sz val="8"/>
        <color theme="1"/>
        <rFont val="Arial"/>
        <family val="2"/>
      </rPr>
      <t>29.Dec -&gt; 02.Jan</t>
    </r>
    <r>
      <rPr>
        <sz val="8"/>
        <color theme="1"/>
        <rFont val="Arial"/>
        <family val="2"/>
      </rPr>
      <t xml:space="preserve">) Hỗ trợ toàn bộ những feedback của BeeVN ngày 17.12 và hoàn thành các tính năng của 2 luồng Cấp đơn và bồi thường.
</t>
    </r>
    <r>
      <rPr>
        <i/>
        <u/>
        <sz val="8"/>
        <color theme="1"/>
        <rFont val="Arial"/>
        <family val="2"/>
      </rPr>
      <t>Team dự án cần Vỹ hỗ trợ:</t>
    </r>
    <r>
      <rPr>
        <sz val="8"/>
        <color theme="1"/>
        <rFont val="Arial"/>
        <family val="2"/>
      </rPr>
      <t xml:space="preserve">
1. Data migration: chuẩn hóa dữ liệu cấp đơn và bồi thường dữ liệu cũ (data, files/folders). 
       &gt;&gt;&gt; Mong muốn hoành thành: </t>
    </r>
    <r>
      <rPr>
        <b/>
        <sz val="8"/>
        <color theme="1"/>
        <rFont val="Arial"/>
        <family val="2"/>
      </rPr>
      <t>02.Jan.2026</t>
    </r>
    <r>
      <rPr>
        <sz val="8"/>
        <color theme="1"/>
        <rFont val="Arial"/>
        <family val="2"/>
      </rPr>
      <t xml:space="preserve">
2. Những ai bên Vỹ (và BeeVN) tham gia trải nghiệm thử các tính năng của dự án trên môi trường Vinova's Staging, vai trò gì (ví dụ: Underwriter, Claim Officer, Leader, Admin)
     &gt;&gt;&gt; Mong muốn phản hồi: </t>
    </r>
    <r>
      <rPr>
        <b/>
        <sz val="8"/>
        <color theme="1"/>
        <rFont val="Arial"/>
        <family val="2"/>
      </rPr>
      <t>02.Jan.2026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</si>
</sst>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14809]d\ mmm\ yyyy;@"/>
  </numFmts>
  <fonts count="12"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color rgb="FF000000"/>
      <name val="Arial"/>
      <family val="2"/>
    </font>
    <font>
      <sz val="8"/>
      <color rgb="FF0000FF"/>
      <name val="Arial"/>
      <family val="2"/>
    </font>
    <font>
      <b/>
      <sz val="14"/>
      <color rgb="FF000000"/>
      <name val="Arial"/>
      <family val="2"/>
    </font>
    <font>
      <b/>
      <sz val="8"/>
      <color rgb="FFFFFFFF"/>
      <name val="Arial"/>
      <family val="2"/>
    </font>
    <font>
      <sz val="8"/>
      <name val="Arial"/>
      <family val="2"/>
    </font>
    <font>
      <sz val="8"/>
      <color theme="5"/>
      <name val="Arial"/>
      <family val="2"/>
    </font>
    <font>
      <i/>
      <u/>
      <sz val="8"/>
      <color theme="1"/>
      <name val="Arial"/>
      <family val="2"/>
    </font>
    <font>
      <b/>
      <i/>
      <sz val="8"/>
      <color theme="1"/>
      <name val="Arial"/>
      <family val="2"/>
    </font>
  </fonts>
  <fills count="3">
    <fill>
      <patternFill patternType="none"/>
    </fill>
    <fill>
      <patternFill patternType="gray125"/>
    </fill>
    <fill>
      <patternFill patternType="solid">
        <fgColor rgb="FF335593"/>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8">
    <xf numFmtId="0" fontId="0" fillId="0" borderId="0" xfId="0"/>
    <xf numFmtId="0" fontId="1" fillId="0" borderId="0" xfId="0" applyFont="1"/>
    <xf numFmtId="0" fontId="6" fillId="0" borderId="0" xfId="0" applyFont="1"/>
    <xf numFmtId="0" fontId="1" fillId="0" borderId="1" xfId="0" applyFont="1" applyBorder="1" applyAlignment="1">
      <alignment vertical="top" wrapText="1"/>
    </xf>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7" fillId="2" borderId="1" xfId="0" applyFont="1" applyFill="1" applyBorder="1" applyAlignment="1">
      <alignment vertical="top"/>
    </xf>
    <xf numFmtId="164" fontId="1" fillId="0" borderId="1" xfId="0" applyNumberFormat="1" applyFont="1" applyBorder="1" applyAlignment="1">
      <alignment horizontal="left" vertical="top"/>
    </xf>
    <xf numFmtId="0" fontId="1" fillId="0" borderId="0" xfId="0" applyFont="1" applyAlignment="1">
      <alignment vertical="top"/>
    </xf>
    <xf numFmtId="0" fontId="1" fillId="0" borderId="1" xfId="0" applyFont="1" applyBorder="1" applyAlignment="1">
      <alignment vertical="top"/>
    </xf>
    <xf numFmtId="17"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5" fontId="8" fillId="0" borderId="1" xfId="0" applyNumberFormat="1" applyFont="1" applyBorder="1" applyAlignment="1">
      <alignment vertical="center" wrapText="1"/>
    </xf>
    <xf numFmtId="0" fontId="3" fillId="0" borderId="1" xfId="0" applyFont="1" applyBorder="1" applyAlignment="1">
      <alignment vertical="top"/>
    </xf>
    <xf numFmtId="0" fontId="1" fillId="0" borderId="1" xfId="0" quotePrefix="1" applyFont="1" applyBorder="1" applyAlignment="1">
      <alignment vertical="top"/>
    </xf>
    <xf numFmtId="9" fontId="5" fillId="0" borderId="1" xfId="0" applyNumberFormat="1" applyFont="1" applyBorder="1" applyAlignment="1">
      <alignment horizontal="left" vertical="top"/>
    </xf>
    <xf numFmtId="15" fontId="5" fillId="0" borderId="1" xfId="0" applyNumberFormat="1" applyFont="1" applyBorder="1" applyAlignment="1">
      <alignment vertical="center" wrapText="1"/>
    </xf>
    <xf numFmtId="15" fontId="1" fillId="0" borderId="1" xfId="0" applyNumberFormat="1" applyFont="1" applyBorder="1" applyAlignment="1">
      <alignment vertical="center" wrapText="1"/>
    </xf>
    <xf numFmtId="15" fontId="9" fillId="0" borderId="1" xfId="0" applyNumberFormat="1" applyFont="1" applyBorder="1" applyAlignment="1">
      <alignment vertical="center" wrapText="1"/>
    </xf>
    <xf numFmtId="0" fontId="1" fillId="0" borderId="1" xfId="0" applyFont="1" applyBorder="1" applyAlignment="1">
      <alignment horizontal="left" vertical="top"/>
    </xf>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2"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4" xfId="0" quotePrefix="1" applyFont="1" applyBorder="1" applyAlignment="1">
      <alignment horizontal="left" vertical="top" wrapText="1"/>
    </xf>
  </cellXfs>
  <cellStyles count="1">
    <cellStyle name="Normal" xfId="0" builtinId="0"/>
  </cellStyles>
  <dxfs count="21">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0"/>
      <tableStyleElement type="firstRowStripe" dxfId="19"/>
      <tableStyleElement type="secondRowStripe" dxfId="18"/>
    </tableStyle>
    <tableStyle name="Data-Setting-style 2" pivot="0" count="3" xr9:uid="{F12F8E63-734F-49D8-85F7-79F1FD57249B}">
      <tableStyleElement type="headerRow" dxfId="17"/>
      <tableStyleElement type="firstRowStripe" dxfId="16"/>
      <tableStyleElement type="secondRowStripe" dxfId="15"/>
    </tableStyle>
    <tableStyle name="Data-Setting-style 2 2" pivot="0" count="3" xr9:uid="{79E30646-064A-4E6E-8C9F-57538C0B5892}">
      <tableStyleElement type="headerRow" dxfId="14"/>
      <tableStyleElement type="firstRowStripe" dxfId="13"/>
      <tableStyleElement type="secondRowStripe" dxfId="12"/>
    </tableStyle>
    <tableStyle name="Data-Setting-style 3" pivot="0" count="3" xr9:uid="{748AF462-EF03-40A7-AD83-8E24EFF3BFE6}">
      <tableStyleElement type="headerRow" dxfId="11"/>
      <tableStyleElement type="firstRowStripe" dxfId="10"/>
      <tableStyleElement type="secondRowStripe" dxfId="9"/>
    </tableStyle>
    <tableStyle name="RAWDATA-TS-style" pivot="0" count="3" xr9:uid="{2BC226EA-1B29-412A-A5BA-A90EEF355ED0}">
      <tableStyleElement type="headerRow" dxfId="8"/>
      <tableStyleElement type="firstRowStripe" dxfId="7"/>
      <tableStyleElement type="secondRowStripe" dxfId="6"/>
    </tableStyle>
    <tableStyle name="RAWDATA-TS-style 2" pivot="0" count="3" xr9:uid="{3DB890DF-76BD-40EB-A90C-3ADC90244373}">
      <tableStyleElement type="headerRow" dxfId="5"/>
      <tableStyleElement type="firstRowStripe" dxfId="4"/>
      <tableStyleElement type="secondRowStripe" dxfId="3"/>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735C-D672-4722-84DC-161CEB64ABD0}">
  <dimension ref="B1:F40"/>
  <sheetViews>
    <sheetView tabSelected="1" topLeftCell="A13" zoomScale="160" zoomScaleNormal="160" workbookViewId="0">
      <selection activeCell="C16" sqref="C16:F16"/>
    </sheetView>
  </sheetViews>
  <sheetFormatPr defaultColWidth="8.7265625" defaultRowHeight="10" x14ac:dyDescent="0.2"/>
  <cols>
    <col min="1" max="1" width="1.54296875" style="1" customWidth="1"/>
    <col min="2" max="2" width="15.54296875" style="1" customWidth="1"/>
    <col min="3" max="3" width="10.54296875" style="1" customWidth="1"/>
    <col min="4" max="4" width="18.54296875" style="1" customWidth="1"/>
    <col min="5" max="6" width="15.54296875" style="1" customWidth="1"/>
    <col min="7" max="7" width="14.1796875" style="1" customWidth="1"/>
    <col min="8" max="16384" width="8.7265625" style="1"/>
  </cols>
  <sheetData>
    <row r="1" spans="2:6" ht="18" x14ac:dyDescent="0.4">
      <c r="B1" s="2" t="s">
        <v>34</v>
      </c>
      <c r="C1" s="4"/>
      <c r="D1" s="5"/>
    </row>
    <row r="2" spans="2:6" x14ac:dyDescent="0.2">
      <c r="B2" s="6"/>
      <c r="C2" s="7"/>
      <c r="D2" s="7"/>
    </row>
    <row r="3" spans="2:6" ht="10.5" x14ac:dyDescent="0.2">
      <c r="B3" s="8" t="s">
        <v>0</v>
      </c>
      <c r="C3" s="21" t="s">
        <v>35</v>
      </c>
      <c r="D3" s="9" t="s">
        <v>36</v>
      </c>
      <c r="E3" s="10"/>
    </row>
    <row r="4" spans="2:6" ht="10.5" x14ac:dyDescent="0.2">
      <c r="B4" s="8" t="s">
        <v>1</v>
      </c>
      <c r="C4" s="11" t="s">
        <v>2</v>
      </c>
      <c r="D4" s="10"/>
      <c r="E4" s="10"/>
    </row>
    <row r="5" spans="2:6" ht="10.5" x14ac:dyDescent="0.2">
      <c r="B5" s="8" t="s">
        <v>3</v>
      </c>
      <c r="C5" s="9" t="s">
        <v>4</v>
      </c>
      <c r="D5" s="15" t="s">
        <v>5</v>
      </c>
      <c r="E5" s="10"/>
    </row>
    <row r="6" spans="2:6" ht="10.5" x14ac:dyDescent="0.2">
      <c r="B6" s="8" t="s">
        <v>6</v>
      </c>
      <c r="C6" s="11" t="s">
        <v>7</v>
      </c>
      <c r="D6" s="8" t="s">
        <v>8</v>
      </c>
      <c r="E6" s="11" t="s">
        <v>9</v>
      </c>
    </row>
    <row r="7" spans="2:6" x14ac:dyDescent="0.2">
      <c r="B7" s="10"/>
      <c r="C7" s="10"/>
      <c r="D7" s="10"/>
      <c r="E7" s="10"/>
    </row>
    <row r="8" spans="2:6" ht="10.5" x14ac:dyDescent="0.2">
      <c r="B8" s="8" t="s">
        <v>10</v>
      </c>
      <c r="C8" s="8"/>
      <c r="D8" s="8"/>
      <c r="E8" s="8"/>
      <c r="F8" s="8"/>
    </row>
    <row r="9" spans="2:6" ht="58.5" customHeight="1" x14ac:dyDescent="0.2">
      <c r="B9" s="16" t="s">
        <v>11</v>
      </c>
      <c r="C9" s="17" t="s">
        <v>37</v>
      </c>
      <c r="D9" s="23" t="s">
        <v>39</v>
      </c>
      <c r="E9" s="24"/>
      <c r="F9" s="24"/>
    </row>
    <row r="10" spans="2:6" x14ac:dyDescent="0.2">
      <c r="B10" s="11"/>
      <c r="C10" s="11"/>
      <c r="D10" s="10"/>
      <c r="E10" s="10"/>
      <c r="F10" s="10"/>
    </row>
    <row r="11" spans="2:6" ht="10.5" x14ac:dyDescent="0.2">
      <c r="B11" s="8" t="s">
        <v>12</v>
      </c>
      <c r="C11" s="8"/>
      <c r="D11" s="8"/>
      <c r="E11" s="8"/>
      <c r="F11" s="8"/>
    </row>
    <row r="12" spans="2:6" ht="91" customHeight="1" x14ac:dyDescent="0.2">
      <c r="B12" s="11" t="s">
        <v>13</v>
      </c>
      <c r="C12" s="25" t="s">
        <v>38</v>
      </c>
      <c r="D12" s="26"/>
      <c r="E12" s="26"/>
      <c r="F12" s="27"/>
    </row>
    <row r="13" spans="2:6" ht="87" customHeight="1" x14ac:dyDescent="0.2">
      <c r="B13" s="11" t="s">
        <v>14</v>
      </c>
      <c r="C13" s="25" t="s">
        <v>40</v>
      </c>
      <c r="D13" s="26"/>
      <c r="E13" s="26"/>
      <c r="F13" s="27"/>
    </row>
    <row r="14" spans="2:6" ht="99" customHeight="1" x14ac:dyDescent="0.2">
      <c r="B14" s="11"/>
      <c r="C14" s="25" t="s">
        <v>46</v>
      </c>
      <c r="D14" s="26"/>
      <c r="E14" s="26"/>
      <c r="F14" s="27"/>
    </row>
    <row r="15" spans="2:6" ht="75" customHeight="1" x14ac:dyDescent="0.2">
      <c r="B15" s="11"/>
      <c r="C15" s="25" t="s">
        <v>45</v>
      </c>
      <c r="D15" s="26"/>
      <c r="E15" s="26"/>
      <c r="F15" s="27"/>
    </row>
    <row r="16" spans="2:6" ht="31" customHeight="1" x14ac:dyDescent="0.2">
      <c r="B16" s="11"/>
      <c r="C16" s="25" t="s">
        <v>43</v>
      </c>
      <c r="D16" s="26"/>
      <c r="E16" s="26"/>
      <c r="F16" s="27"/>
    </row>
    <row r="17" spans="2:6" ht="17" customHeight="1" x14ac:dyDescent="0.2">
      <c r="B17" s="11"/>
      <c r="C17" s="25" t="s">
        <v>44</v>
      </c>
      <c r="D17" s="26"/>
      <c r="E17" s="26"/>
      <c r="F17" s="27"/>
    </row>
    <row r="18" spans="2:6" ht="46" customHeight="1" x14ac:dyDescent="0.2">
      <c r="B18" s="3" t="s">
        <v>15</v>
      </c>
      <c r="C18" s="25" t="s">
        <v>33</v>
      </c>
      <c r="D18" s="26"/>
      <c r="E18" s="26"/>
      <c r="F18" s="27"/>
    </row>
    <row r="19" spans="2:6" ht="32" customHeight="1" x14ac:dyDescent="0.2">
      <c r="B19" s="3" t="s">
        <v>16</v>
      </c>
      <c r="C19" s="25" t="s">
        <v>41</v>
      </c>
      <c r="D19" s="26"/>
      <c r="E19" s="26"/>
      <c r="F19" s="27"/>
    </row>
    <row r="20" spans="2:6" x14ac:dyDescent="0.2">
      <c r="B20" s="10"/>
      <c r="C20" s="10"/>
      <c r="D20" s="10"/>
      <c r="E20" s="10"/>
    </row>
    <row r="21" spans="2:6" ht="10.5" x14ac:dyDescent="0.2">
      <c r="B21" s="8" t="s">
        <v>17</v>
      </c>
      <c r="C21" s="8" t="s">
        <v>0</v>
      </c>
      <c r="D21" s="8" t="s">
        <v>18</v>
      </c>
      <c r="E21" s="8" t="s">
        <v>19</v>
      </c>
      <c r="F21" s="8" t="s">
        <v>20</v>
      </c>
    </row>
    <row r="22" spans="2:6" x14ac:dyDescent="0.2">
      <c r="B22" s="12" t="s">
        <v>21</v>
      </c>
      <c r="C22" s="12" t="str">
        <f>YEAR(D22)&amp;"-"&amp;"W"&amp;TEXT(WEEKNUM(D22,21),"0#")</f>
        <v>2025-W46</v>
      </c>
      <c r="D22" s="13">
        <v>45971</v>
      </c>
      <c r="E22" s="13">
        <f xml:space="preserve"> D22+(6-WEEKDAY(D22,3))</f>
        <v>45977</v>
      </c>
      <c r="F22" s="19" t="s">
        <v>22</v>
      </c>
    </row>
    <row r="23" spans="2:6" x14ac:dyDescent="0.2">
      <c r="B23" s="12"/>
      <c r="C23" s="12" t="str">
        <f>YEAR(D23)&amp;"-"&amp;"W"&amp;TEXT(WEEKNUM(D23,21),"0#")</f>
        <v>2025-W47</v>
      </c>
      <c r="D23" s="13">
        <f>D22+( 7-WEEKDAY(D22,3))</f>
        <v>45978</v>
      </c>
      <c r="E23" s="13">
        <f xml:space="preserve"> D23+(6-WEEKDAY(D23,3))</f>
        <v>45984</v>
      </c>
      <c r="F23" s="19" t="s">
        <v>22</v>
      </c>
    </row>
    <row r="24" spans="2:6" x14ac:dyDescent="0.2">
      <c r="B24" s="12" t="s">
        <v>23</v>
      </c>
      <c r="C24" s="12" t="str">
        <f t="shared" ref="C24:C34" si="0">YEAR(D24)&amp;"-"&amp;"W"&amp;TEXT(WEEKNUM(D24,21),"0#")</f>
        <v>2025-W48</v>
      </c>
      <c r="D24" s="13">
        <f t="shared" ref="D24:D34" si="1">D23+( 7-WEEKDAY(D23,3))</f>
        <v>45985</v>
      </c>
      <c r="E24" s="13">
        <f t="shared" ref="E24:E34" si="2" xml:space="preserve"> D24+(6-WEEKDAY(D24,3))</f>
        <v>45991</v>
      </c>
      <c r="F24" s="19" t="s">
        <v>22</v>
      </c>
    </row>
    <row r="25" spans="2:6" x14ac:dyDescent="0.2">
      <c r="B25" s="12"/>
      <c r="C25" s="12" t="str">
        <f t="shared" si="0"/>
        <v>2025-W49</v>
      </c>
      <c r="D25" s="13">
        <f t="shared" si="1"/>
        <v>45992</v>
      </c>
      <c r="E25" s="13">
        <f t="shared" si="2"/>
        <v>45998</v>
      </c>
      <c r="F25" s="19" t="s">
        <v>22</v>
      </c>
    </row>
    <row r="26" spans="2:6" x14ac:dyDescent="0.2">
      <c r="B26" s="12"/>
      <c r="C26" s="12" t="str">
        <f t="shared" si="0"/>
        <v>2025-W50</v>
      </c>
      <c r="D26" s="13">
        <f t="shared" si="1"/>
        <v>45999</v>
      </c>
      <c r="E26" s="13">
        <f t="shared" si="2"/>
        <v>46005</v>
      </c>
      <c r="F26" s="19" t="s">
        <v>22</v>
      </c>
    </row>
    <row r="27" spans="2:6" x14ac:dyDescent="0.2">
      <c r="B27" s="12"/>
      <c r="C27" s="12" t="str">
        <f t="shared" si="0"/>
        <v>2025-W51</v>
      </c>
      <c r="D27" s="13">
        <f t="shared" si="1"/>
        <v>46006</v>
      </c>
      <c r="E27" s="13">
        <f t="shared" si="2"/>
        <v>46012</v>
      </c>
      <c r="F27" s="19" t="s">
        <v>22</v>
      </c>
    </row>
    <row r="28" spans="2:6" x14ac:dyDescent="0.2">
      <c r="B28" s="12"/>
      <c r="C28" s="12" t="str">
        <f t="shared" si="0"/>
        <v>2025-W52</v>
      </c>
      <c r="D28" s="13">
        <f t="shared" si="1"/>
        <v>46013</v>
      </c>
      <c r="E28" s="13">
        <f t="shared" si="2"/>
        <v>46019</v>
      </c>
      <c r="F28" s="18" t="s">
        <v>24</v>
      </c>
    </row>
    <row r="29" spans="2:6" x14ac:dyDescent="0.2">
      <c r="B29" s="12"/>
      <c r="C29" s="12" t="str">
        <f t="shared" si="0"/>
        <v>2025-W01</v>
      </c>
      <c r="D29" s="13">
        <f t="shared" si="1"/>
        <v>46020</v>
      </c>
      <c r="E29" s="13">
        <f t="shared" si="2"/>
        <v>46026</v>
      </c>
      <c r="F29" s="20" t="s">
        <v>25</v>
      </c>
    </row>
    <row r="30" spans="2:6" x14ac:dyDescent="0.2">
      <c r="B30" s="12"/>
      <c r="C30" s="12" t="str">
        <f t="shared" si="0"/>
        <v>2026-W02</v>
      </c>
      <c r="D30" s="13">
        <f t="shared" si="1"/>
        <v>46027</v>
      </c>
      <c r="E30" s="13">
        <f t="shared" si="2"/>
        <v>46033</v>
      </c>
      <c r="F30" s="14" t="s">
        <v>25</v>
      </c>
    </row>
    <row r="31" spans="2:6" x14ac:dyDescent="0.2">
      <c r="B31" s="12"/>
      <c r="C31" s="12" t="str">
        <f t="shared" si="0"/>
        <v>2026-W03</v>
      </c>
      <c r="D31" s="13">
        <f t="shared" si="1"/>
        <v>46034</v>
      </c>
      <c r="E31" s="13">
        <f t="shared" si="2"/>
        <v>46040</v>
      </c>
      <c r="F31" s="14" t="s">
        <v>25</v>
      </c>
    </row>
    <row r="32" spans="2:6" x14ac:dyDescent="0.2">
      <c r="B32" s="12"/>
      <c r="C32" s="12" t="str">
        <f t="shared" si="0"/>
        <v>2026-W04</v>
      </c>
      <c r="D32" s="13">
        <f t="shared" si="1"/>
        <v>46041</v>
      </c>
      <c r="E32" s="13">
        <f t="shared" si="2"/>
        <v>46047</v>
      </c>
      <c r="F32" s="14" t="s">
        <v>25</v>
      </c>
    </row>
    <row r="33" spans="2:6" x14ac:dyDescent="0.2">
      <c r="B33" s="12" t="s">
        <v>30</v>
      </c>
      <c r="C33" s="12" t="str">
        <f t="shared" si="0"/>
        <v>2026-W05</v>
      </c>
      <c r="D33" s="13">
        <f t="shared" si="1"/>
        <v>46048</v>
      </c>
      <c r="E33" s="13">
        <f t="shared" si="2"/>
        <v>46054</v>
      </c>
      <c r="F33" s="14" t="s">
        <v>25</v>
      </c>
    </row>
    <row r="34" spans="2:6" x14ac:dyDescent="0.2">
      <c r="B34" s="12" t="s">
        <v>31</v>
      </c>
      <c r="C34" s="12" t="str">
        <f t="shared" si="0"/>
        <v>2026-W06</v>
      </c>
      <c r="D34" s="13">
        <f t="shared" si="1"/>
        <v>46055</v>
      </c>
      <c r="E34" s="13">
        <f t="shared" si="2"/>
        <v>46061</v>
      </c>
      <c r="F34" s="14" t="s">
        <v>25</v>
      </c>
    </row>
    <row r="36" spans="2:6" ht="10.5" x14ac:dyDescent="0.2">
      <c r="B36" s="8" t="s">
        <v>26</v>
      </c>
      <c r="C36" s="8"/>
      <c r="D36" s="8"/>
      <c r="E36" s="8"/>
      <c r="F36" s="8"/>
    </row>
    <row r="37" spans="2:6" ht="55" customHeight="1" x14ac:dyDescent="0.2">
      <c r="B37" s="3" t="s">
        <v>27</v>
      </c>
      <c r="C37" s="22" t="s">
        <v>42</v>
      </c>
      <c r="D37" s="22"/>
      <c r="E37" s="22"/>
      <c r="F37" s="22"/>
    </row>
    <row r="39" spans="2:6" ht="10.5" x14ac:dyDescent="0.2">
      <c r="B39" s="8" t="s">
        <v>28</v>
      </c>
      <c r="C39" s="8"/>
      <c r="D39" s="8"/>
      <c r="E39" s="8"/>
      <c r="F39" s="8"/>
    </row>
    <row r="40" spans="2:6" ht="38.5" customHeight="1" x14ac:dyDescent="0.2">
      <c r="B40" s="3" t="s">
        <v>29</v>
      </c>
      <c r="C40" s="22" t="s">
        <v>32</v>
      </c>
      <c r="D40" s="22"/>
      <c r="E40" s="22"/>
      <c r="F40" s="22"/>
    </row>
  </sheetData>
  <mergeCells count="11">
    <mergeCell ref="C40:F40"/>
    <mergeCell ref="D9:F9"/>
    <mergeCell ref="C12:F12"/>
    <mergeCell ref="C13:F13"/>
    <mergeCell ref="C18:F18"/>
    <mergeCell ref="C19:F19"/>
    <mergeCell ref="C37:F37"/>
    <mergeCell ref="C14:F14"/>
    <mergeCell ref="C15:F15"/>
    <mergeCell ref="C16:F16"/>
    <mergeCell ref="C17:F17"/>
  </mergeCells>
  <conditionalFormatting sqref="C27:D33">
    <cfRule type="containsText" dxfId="2" priority="1" operator="containsText" text="CRITICAL">
      <formula>NOT(ISERROR(SEARCH("CRITICAL",C27)))</formula>
    </cfRule>
    <cfRule type="containsText" dxfId="1" priority="2" operator="containsText" text="WARNING">
      <formula>NOT(ISERROR(SEARCH("WARNING",C27)))</formula>
    </cfRule>
    <cfRule type="containsText" dxfId="0" priority="3" operator="containsText" text="OK">
      <formula>NOT(ISERROR(SEARCH("OK",C27)))</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W7-26.Dec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Tony Nguyen</cp:lastModifiedBy>
  <cp:revision/>
  <dcterms:created xsi:type="dcterms:W3CDTF">2023-06-12T15:04:10Z</dcterms:created>
  <dcterms:modified xsi:type="dcterms:W3CDTF">2025-12-29T08:27:21Z</dcterms:modified>
  <cp:category/>
  <cp:contentStatus/>
</cp:coreProperties>
</file>