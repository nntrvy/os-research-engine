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54d77a9688661eb/VNV-Project/BEEOS/SharedDocument/Weekly-Report/"/>
    </mc:Choice>
  </mc:AlternateContent>
  <xr:revisionPtr revIDLastSave="16133" documentId="11_E3635A91D89360E2088FC70966A6DD3BA462BE81" xr6:coauthVersionLast="47" xr6:coauthVersionMax="47" xr10:uidLastSave="{3C11F2E3-67EC-420A-B656-F67750E18988}"/>
  <bookViews>
    <workbookView xWindow="28680" yWindow="-120" windowWidth="29040" windowHeight="16440" xr2:uid="{00000000-000D-0000-FFFF-FFFF00000000}"/>
  </bookViews>
  <sheets>
    <sheet name="W12-30.Jan" sheetId="2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0" l="1"/>
  <c r="D20" i="20" s="1"/>
  <c r="E18" i="20"/>
  <c r="C18" i="20"/>
  <c r="D21" i="20" l="1"/>
  <c r="E20" i="20"/>
  <c r="C20" i="20"/>
  <c r="C19" i="20"/>
  <c r="E19" i="20"/>
  <c r="D22" i="20" l="1"/>
  <c r="E21" i="20"/>
  <c r="C21" i="20"/>
  <c r="E22" i="20" l="1"/>
  <c r="C22" i="20"/>
  <c r="D23" i="20"/>
  <c r="D24" i="20" l="1"/>
  <c r="E23" i="20"/>
  <c r="C23" i="20"/>
  <c r="D25" i="20" l="1"/>
  <c r="E24" i="20"/>
  <c r="C24" i="20"/>
  <c r="D26" i="20" l="1"/>
  <c r="E25" i="20"/>
  <c r="C25" i="20"/>
  <c r="E26" i="20" l="1"/>
  <c r="C26" i="20"/>
  <c r="D27" i="20"/>
  <c r="D28" i="20" l="1"/>
  <c r="C27" i="20"/>
  <c r="E27" i="20"/>
  <c r="D29" i="20" l="1"/>
  <c r="E28" i="20"/>
  <c r="C28" i="20"/>
  <c r="D30" i="20" l="1"/>
  <c r="C29" i="20"/>
  <c r="E29" i="20"/>
  <c r="E30" i="20" l="1"/>
  <c r="C30" i="20"/>
</calcChain>
</file>

<file path=xl/sharedStrings.xml><?xml version="1.0" encoding="utf-8"?>
<sst xmlns="http://schemas.openxmlformats.org/spreadsheetml/2006/main" count="58" uniqueCount="47">
  <si>
    <t>Tuần</t>
  </si>
  <si>
    <t>Tên dự án</t>
  </si>
  <si>
    <t>BeeOS</t>
  </si>
  <si>
    <t>Thời gian thực hiện</t>
  </si>
  <si>
    <t>10.11.2025</t>
  </si>
  <si>
    <t>12.02.2026</t>
  </si>
  <si>
    <t>Trưởng dự án</t>
  </si>
  <si>
    <t>Tony (Vinova)</t>
  </si>
  <si>
    <t>Quản lý khách hàng</t>
  </si>
  <si>
    <t>Audrey (Vinova)</t>
  </si>
  <si>
    <t>Thông tin chung</t>
  </si>
  <si>
    <t>% hoàn thành</t>
  </si>
  <si>
    <t>Tóm lược</t>
  </si>
  <si>
    <t>Công việc trong tuần</t>
  </si>
  <si>
    <t>Dự tính tuần tiếp theo</t>
  </si>
  <si>
    <t>Quản lý Rủi ro</t>
  </si>
  <si>
    <t>Các mốc quan trọng</t>
  </si>
  <si>
    <t>Từ ngày</t>
  </si>
  <si>
    <t>Đến ngày</t>
  </si>
  <si>
    <t>Trạng thái</t>
  </si>
  <si>
    <t>Requirement + Design</t>
  </si>
  <si>
    <t>Đã qua</t>
  </si>
  <si>
    <t>Development</t>
  </si>
  <si>
    <t>Đang tiến hành</t>
  </si>
  <si>
    <t>Chờ đến lượt</t>
  </si>
  <si>
    <t>Links tham khảo thêm</t>
  </si>
  <si>
    <t>Tài liệu chia sẻ</t>
  </si>
  <si>
    <t>Other Note</t>
  </si>
  <si>
    <t>Thử nghiệm</t>
  </si>
  <si>
    <t>Sử dụng thực tế</t>
  </si>
  <si>
    <t>- Danh sách công việc và trạng thái
- Báo cáo tuần
- Tóm tắt tình hình import data vào hệ thống mới
&gt;&gt;&gt; Link tham khảo:  https://1drv.ms/f/c/e54d77a9688661eb/Eh-k0gWYkp9IoZHzEl4lt8gBjHtoEvToZOHHz7i9BkCHWQ?e=6ZjilW</t>
  </si>
  <si>
    <t>Môi trường production</t>
  </si>
  <si>
    <r>
      <rPr>
        <i/>
        <u/>
        <sz val="8"/>
        <color theme="1"/>
        <rFont val="Arial"/>
        <family val="2"/>
      </rPr>
      <t>Lưu ý:</t>
    </r>
    <r>
      <rPr>
        <sz val="8"/>
        <color theme="1"/>
        <rFont val="Arial"/>
        <family val="2"/>
      </rPr>
      <t xml:space="preserve"> sử dụng chạy thực nghiệm và GOLIVE sau này.</t>
    </r>
  </si>
  <si>
    <t>BeeOS - Báo cáo - Tuần 12</t>
  </si>
  <si>
    <t>26.01.2026</t>
  </si>
  <si>
    <t>30.01.2026</t>
  </si>
  <si>
    <t>95% (+5)</t>
  </si>
  <si>
    <r>
      <rPr>
        <b/>
        <sz val="8"/>
        <color theme="1"/>
        <rFont val="Arial"/>
        <family val="2"/>
      </rPr>
      <t>T2 (02.Feb)</t>
    </r>
    <r>
      <rPr>
        <sz val="8"/>
        <color theme="1"/>
        <rFont val="Arial"/>
        <family val="2"/>
      </rPr>
      <t xml:space="preserve"> Mong muốn hoàn tất việc migrate data (Cấp đơn, bồi thường) trên môi trường production.
</t>
    </r>
    <r>
      <rPr>
        <b/>
        <sz val="8"/>
        <color theme="1"/>
        <rFont val="Arial"/>
        <family val="2"/>
      </rPr>
      <t>T3,T4,T5,T6 (03,04,05,06.Feb)</t>
    </r>
    <r>
      <rPr>
        <sz val="8"/>
        <color theme="1"/>
        <rFont val="Arial"/>
        <family val="2"/>
      </rPr>
      <t xml:space="preserve">  BeeVN chạy thử nghiệm thực tế với data thật và GOLIVE.</t>
    </r>
  </si>
  <si>
    <t>Rủi ro #1: Chuẩn hóa dữ liệu migration (Cấp đơn, bồi thường) để có dữ liệu chính xác phục vụ cho việc kiểm chứng những dữ liệu tính toán khác có liên quan.
&gt;&gt;&gt; Mong muốn hoành tất vào T2 (02.Feb), chậm trễ có thể ảnh hưởng đến hạn định của dự án.</t>
  </si>
  <si>
    <t>Bàn giao</t>
  </si>
  <si>
    <t>Quy trình bàn giao và hỗ trợ sau khi GOLIVE</t>
  </si>
  <si>
    <t xml:space="preserve">Những điểm nổi bật:
- Đã hỗ trợ hầu hết những feedback (ngày 23.01,30.01) và những ngày trước đó của BeeVN.
- Tiếp tục kiểm chứng và fix bug cho 2 luồng cấp đơn và bồi thường.
</t>
  </si>
  <si>
    <r>
      <t xml:space="preserve">1. Đã hỗ trợ hầu hết những điểm feedback cho cả 8 lần (ngày 17.12, 06.01, 09.01, 19.01, 21.01, 23.01, 26.01, 30.01)
3. Data migration: Vẫn chỉ đang 60%: Vẫn còn 1 số dữ liệu (Cấp đơn, bồi thường) cần chuẩn hóa. 
</t>
    </r>
    <r>
      <rPr>
        <u/>
        <sz val="8"/>
        <color theme="1"/>
        <rFont val="Arial"/>
        <family val="2"/>
      </rPr>
      <t>Cấp đơn:</t>
    </r>
    <r>
      <rPr>
        <sz val="8"/>
        <color theme="1"/>
        <rFont val="Arial"/>
        <family val="2"/>
      </rPr>
      <t xml:space="preserve">  1 số dữ liệu bị duplicated
</t>
    </r>
    <r>
      <rPr>
        <u/>
        <sz val="8"/>
        <color theme="1"/>
        <rFont val="Arial"/>
        <family val="2"/>
      </rPr>
      <t>Bồi thường:</t>
    </r>
    <r>
      <rPr>
        <sz val="8"/>
        <color theme="1"/>
        <rFont val="Arial"/>
        <family val="2"/>
      </rPr>
      <t xml:space="preserve">
- Cần đảm bảo dữ liệu đúng tên địa điểm đang quản lý trong hệ thống và thống nhất 1 cách ghi cho toàn bộ dữ liệu (ví dụ: dùng toàn bộ tên viết tắt)</t>
    </r>
  </si>
  <si>
    <r>
      <rPr>
        <b/>
        <sz val="8"/>
        <color theme="1"/>
        <rFont val="Arial"/>
        <family val="2"/>
      </rPr>
      <t>Team đặt mục tiêu:</t>
    </r>
    <r>
      <rPr>
        <sz val="8"/>
        <color theme="1"/>
        <rFont val="Arial"/>
        <family val="2"/>
      </rPr>
      <t xml:space="preserve"> 
Mong muốn hoàn thành chạy thực nghiệm trên production và GOLIVE  (từ 02.Feb -&gt; 08.Feb) và kết thúc dự án.</t>
    </r>
  </si>
  <si>
    <t>- GOLIVE: (1 tuần) Từ 02.Feb.2026 đến 06.Feb.2026
- Hỗ trợ sau GOLIVE (1 tuần) Từ 09.Feb.2026 đến 12.Feb.2026: Hỗ trợ các issues/bugs liên quan đến các tính năng trong phạm vi ban đầu.
- Hỗ trợ bảo trì (1 năm) từ 12.Feb.2026 đến 11.Feb.2027</t>
  </si>
  <si>
    <t>Tài liệu bàn giao</t>
  </si>
  <si>
    <t>- Toàn bộ sourcecode
- Tài liệu kĩ thuật
- Tài liệu chi tiết yêu cầu các tính năng
- Bộ kiểm thử (Testcases)
&gt;&gt;&gt; Team sẽ cung cấp sau.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</si>
</sst>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;@"/>
    <numFmt numFmtId="165" formatCode="[$-14809]d\ mmm\ yyyy;@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8"/>
      <color rgb="FF000000"/>
      <name val="Arial"/>
      <family val="2"/>
    </font>
    <font>
      <sz val="8"/>
      <color rgb="FF0000FF"/>
      <name val="Arial"/>
      <family val="2"/>
    </font>
    <font>
      <b/>
      <sz val="14"/>
      <color rgb="FF000000"/>
      <name val="Arial"/>
      <family val="2"/>
    </font>
    <font>
      <b/>
      <sz val="8"/>
      <color rgb="FFFFFFFF"/>
      <name val="Arial"/>
      <family val="2"/>
    </font>
    <font>
      <sz val="8"/>
      <color theme="5"/>
      <name val="Arial"/>
      <family val="2"/>
    </font>
    <font>
      <i/>
      <u/>
      <sz val="8"/>
      <color theme="1"/>
      <name val="Arial"/>
      <family val="2"/>
    </font>
    <font>
      <u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35593"/>
      </patternFill>
    </fill>
  </fills>
  <borders count="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6" fillId="0" borderId="0" xfId="0" applyFont="1"/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7" fillId="2" borderId="1" xfId="0" applyFont="1" applyFill="1" applyBorder="1" applyAlignment="1">
      <alignment vertical="top"/>
    </xf>
    <xf numFmtId="164" fontId="1" fillId="0" borderId="1" xfId="0" applyNumberFormat="1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17" fontId="1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/>
    </xf>
    <xf numFmtId="9" fontId="5" fillId="0" borderId="1" xfId="0" applyNumberFormat="1" applyFont="1" applyBorder="1" applyAlignment="1">
      <alignment horizontal="left" vertical="top"/>
    </xf>
    <xf numFmtId="15" fontId="5" fillId="0" borderId="1" xfId="0" applyNumberFormat="1" applyFont="1" applyBorder="1" applyAlignment="1">
      <alignment vertical="center" wrapText="1"/>
    </xf>
    <xf numFmtId="15" fontId="1" fillId="0" borderId="1" xfId="0" applyNumberFormat="1" applyFont="1" applyBorder="1" applyAlignment="1">
      <alignment vertical="center" wrapText="1"/>
    </xf>
    <xf numFmtId="15" fontId="8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left" vertical="top"/>
    </xf>
    <xf numFmtId="0" fontId="1" fillId="0" borderId="0" xfId="0" quotePrefix="1" applyFont="1" applyAlignment="1">
      <alignment wrapText="1"/>
    </xf>
    <xf numFmtId="0" fontId="1" fillId="0" borderId="1" xfId="0" quotePrefix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quotePrefix="1" applyFont="1" applyBorder="1" applyAlignment="1">
      <alignment horizontal="left" vertical="top" wrapText="1"/>
    </xf>
    <xf numFmtId="0" fontId="1" fillId="0" borderId="3" xfId="0" quotePrefix="1" applyFont="1" applyBorder="1" applyAlignment="1">
      <alignment horizontal="left" vertical="top" wrapText="1"/>
    </xf>
    <xf numFmtId="0" fontId="1" fillId="0" borderId="4" xfId="0" quotePrefix="1" applyFont="1" applyBorder="1" applyAlignment="1">
      <alignment horizontal="left" vertical="top" wrapText="1"/>
    </xf>
  </cellXfs>
  <cellStyles count="1">
    <cellStyle name="Normal" xfId="0" builtinId="0"/>
  </cellStyles>
  <dxfs count="21"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6"/>
          <bgColor theme="6"/>
        </patternFill>
      </fill>
    </dxf>
  </dxfs>
  <tableStyles count="6" defaultTableStyle="TableStyleMedium9" defaultPivotStyle="PivotStyleLight16">
    <tableStyle name="Data-Setting-style" pivot="0" count="3" xr9:uid="{4B45045E-69E0-4519-98F5-E409C16A6FC7}">
      <tableStyleElement type="headerRow" dxfId="20"/>
      <tableStyleElement type="firstRowStripe" dxfId="19"/>
      <tableStyleElement type="secondRowStripe" dxfId="18"/>
    </tableStyle>
    <tableStyle name="Data-Setting-style 2" pivot="0" count="3" xr9:uid="{F12F8E63-734F-49D8-85F7-79F1FD57249B}">
      <tableStyleElement type="headerRow" dxfId="17"/>
      <tableStyleElement type="firstRowStripe" dxfId="16"/>
      <tableStyleElement type="secondRowStripe" dxfId="15"/>
    </tableStyle>
    <tableStyle name="Data-Setting-style 2 2" pivot="0" count="3" xr9:uid="{79E30646-064A-4E6E-8C9F-57538C0B5892}">
      <tableStyleElement type="headerRow" dxfId="14"/>
      <tableStyleElement type="firstRowStripe" dxfId="13"/>
      <tableStyleElement type="secondRowStripe" dxfId="12"/>
    </tableStyle>
    <tableStyle name="Data-Setting-style 3" pivot="0" count="3" xr9:uid="{748AF462-EF03-40A7-AD83-8E24EFF3BFE6}">
      <tableStyleElement type="headerRow" dxfId="11"/>
      <tableStyleElement type="firstRowStripe" dxfId="10"/>
      <tableStyleElement type="secondRowStripe" dxfId="9"/>
    </tableStyle>
    <tableStyle name="RAWDATA-TS-style" pivot="0" count="3" xr9:uid="{2BC226EA-1B29-412A-A5BA-A90EEF355ED0}">
      <tableStyleElement type="headerRow" dxfId="8"/>
      <tableStyleElement type="firstRowStripe" dxfId="7"/>
      <tableStyleElement type="secondRowStripe" dxfId="6"/>
    </tableStyle>
    <tableStyle name="RAWDATA-TS-style 2" pivot="0" count="3" xr9:uid="{3DB890DF-76BD-40EB-A90C-3ADC90244373}">
      <tableStyleElement type="headerRow" dxfId="5"/>
      <tableStyleElement type="firstRowStripe" dxfId="4"/>
      <tableStyleElement type="secondRowStripe" dxfId="3"/>
    </tableStyle>
  </tableStyles>
  <colors>
    <mruColors>
      <color rgb="FF0000FF"/>
      <color rgb="FFFFFFCC"/>
      <color rgb="FF0099CC"/>
      <color rgb="FF9933FF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735C-D672-4722-84DC-161CEB64ABD0}">
  <dimension ref="B1:G39"/>
  <sheetViews>
    <sheetView tabSelected="1" topLeftCell="A31" zoomScale="175" zoomScaleNormal="175" workbookViewId="0">
      <selection activeCell="C39" sqref="C39:F39"/>
    </sheetView>
  </sheetViews>
  <sheetFormatPr defaultColWidth="8.7265625" defaultRowHeight="10" x14ac:dyDescent="0.2"/>
  <cols>
    <col min="1" max="1" width="1.54296875" style="1" customWidth="1"/>
    <col min="2" max="2" width="15.54296875" style="1" customWidth="1"/>
    <col min="3" max="3" width="10.54296875" style="1" customWidth="1"/>
    <col min="4" max="4" width="18.54296875" style="1" customWidth="1"/>
    <col min="5" max="6" width="15.54296875" style="1" customWidth="1"/>
    <col min="7" max="7" width="14.1796875" style="1" customWidth="1"/>
    <col min="8" max="16384" width="8.7265625" style="1"/>
  </cols>
  <sheetData>
    <row r="1" spans="2:7" ht="18" x14ac:dyDescent="0.4">
      <c r="B1" s="2" t="s">
        <v>33</v>
      </c>
      <c r="C1" s="4"/>
      <c r="D1" s="5"/>
    </row>
    <row r="2" spans="2:7" x14ac:dyDescent="0.2">
      <c r="B2" s="6"/>
      <c r="C2" s="7"/>
      <c r="D2" s="7"/>
    </row>
    <row r="3" spans="2:7" ht="10.5" x14ac:dyDescent="0.2">
      <c r="B3" s="8" t="s">
        <v>0</v>
      </c>
      <c r="C3" s="20" t="s">
        <v>34</v>
      </c>
      <c r="D3" s="20" t="s">
        <v>35</v>
      </c>
      <c r="E3" s="10"/>
    </row>
    <row r="4" spans="2:7" ht="10.5" x14ac:dyDescent="0.2">
      <c r="B4" s="8" t="s">
        <v>1</v>
      </c>
      <c r="C4" s="11" t="s">
        <v>2</v>
      </c>
      <c r="D4" s="10"/>
      <c r="E4" s="10"/>
    </row>
    <row r="5" spans="2:7" ht="10.5" x14ac:dyDescent="0.2">
      <c r="B5" s="8" t="s">
        <v>3</v>
      </c>
      <c r="C5" s="9" t="s">
        <v>4</v>
      </c>
      <c r="D5" s="14" t="s">
        <v>5</v>
      </c>
      <c r="E5" s="10"/>
    </row>
    <row r="6" spans="2:7" ht="10.5" x14ac:dyDescent="0.2">
      <c r="B6" s="8" t="s">
        <v>6</v>
      </c>
      <c r="C6" s="11" t="s">
        <v>7</v>
      </c>
      <c r="D6" s="8" t="s">
        <v>8</v>
      </c>
      <c r="E6" s="11" t="s">
        <v>9</v>
      </c>
    </row>
    <row r="7" spans="2:7" x14ac:dyDescent="0.2">
      <c r="B7" s="10"/>
      <c r="C7" s="10"/>
      <c r="D7" s="10"/>
      <c r="E7" s="10"/>
    </row>
    <row r="8" spans="2:7" ht="10.5" x14ac:dyDescent="0.2">
      <c r="B8" s="8" t="s">
        <v>10</v>
      </c>
      <c r="C8" s="8"/>
      <c r="D8" s="8"/>
      <c r="E8" s="8"/>
      <c r="F8" s="8"/>
    </row>
    <row r="9" spans="2:7" ht="49" customHeight="1" x14ac:dyDescent="0.2">
      <c r="B9" s="15" t="s">
        <v>11</v>
      </c>
      <c r="C9" s="16" t="s">
        <v>36</v>
      </c>
      <c r="D9" s="23" t="s">
        <v>41</v>
      </c>
      <c r="E9" s="24"/>
      <c r="F9" s="24"/>
      <c r="G9" s="21"/>
    </row>
    <row r="10" spans="2:7" x14ac:dyDescent="0.2">
      <c r="B10" s="11"/>
      <c r="C10" s="11"/>
      <c r="D10" s="10"/>
      <c r="E10" s="10"/>
      <c r="F10" s="10"/>
    </row>
    <row r="11" spans="2:7" ht="10.5" x14ac:dyDescent="0.2">
      <c r="B11" s="8" t="s">
        <v>12</v>
      </c>
      <c r="C11" s="8"/>
      <c r="D11" s="8"/>
      <c r="E11" s="8"/>
      <c r="F11" s="8"/>
    </row>
    <row r="12" spans="2:7" ht="100.5" customHeight="1" x14ac:dyDescent="0.2">
      <c r="B12" s="11" t="s">
        <v>13</v>
      </c>
      <c r="C12" s="25" t="s">
        <v>42</v>
      </c>
      <c r="D12" s="26"/>
      <c r="E12" s="26"/>
      <c r="F12" s="27"/>
    </row>
    <row r="13" spans="2:7" ht="39.5" customHeight="1" x14ac:dyDescent="0.2">
      <c r="B13" s="11" t="s">
        <v>14</v>
      </c>
      <c r="C13" s="25" t="s">
        <v>43</v>
      </c>
      <c r="D13" s="26"/>
      <c r="E13" s="26"/>
      <c r="F13" s="27"/>
    </row>
    <row r="14" spans="2:7" ht="44.5" customHeight="1" x14ac:dyDescent="0.2">
      <c r="B14" s="11"/>
      <c r="C14" s="25" t="s">
        <v>37</v>
      </c>
      <c r="D14" s="26"/>
      <c r="E14" s="26"/>
      <c r="F14" s="27"/>
    </row>
    <row r="15" spans="2:7" ht="48.5" customHeight="1" x14ac:dyDescent="0.2">
      <c r="B15" s="3" t="s">
        <v>15</v>
      </c>
      <c r="C15" s="25" t="s">
        <v>38</v>
      </c>
      <c r="D15" s="26"/>
      <c r="E15" s="26"/>
      <c r="F15" s="27"/>
    </row>
    <row r="16" spans="2:7" x14ac:dyDescent="0.2">
      <c r="B16" s="10"/>
      <c r="C16" s="10"/>
      <c r="D16" s="10"/>
      <c r="E16" s="10"/>
    </row>
    <row r="17" spans="2:6" ht="10.5" x14ac:dyDescent="0.2">
      <c r="B17" s="8" t="s">
        <v>16</v>
      </c>
      <c r="C17" s="8" t="s">
        <v>0</v>
      </c>
      <c r="D17" s="8" t="s">
        <v>17</v>
      </c>
      <c r="E17" s="8" t="s">
        <v>18</v>
      </c>
      <c r="F17" s="8" t="s">
        <v>19</v>
      </c>
    </row>
    <row r="18" spans="2:6" x14ac:dyDescent="0.2">
      <c r="B18" s="12" t="s">
        <v>20</v>
      </c>
      <c r="C18" s="12" t="str">
        <f>YEAR(D18)&amp;"-"&amp;"W"&amp;TEXT(WEEKNUM(D18,21),"0#")</f>
        <v>2025-W46</v>
      </c>
      <c r="D18" s="13">
        <v>45971</v>
      </c>
      <c r="E18" s="13">
        <f xml:space="preserve"> D18+(6-WEEKDAY(D18,3))</f>
        <v>45977</v>
      </c>
      <c r="F18" s="18" t="s">
        <v>21</v>
      </c>
    </row>
    <row r="19" spans="2:6" x14ac:dyDescent="0.2">
      <c r="B19" s="12"/>
      <c r="C19" s="12" t="str">
        <f>YEAR(D19)&amp;"-"&amp;"W"&amp;TEXT(WEEKNUM(D19,21),"0#")</f>
        <v>2025-W47</v>
      </c>
      <c r="D19" s="13">
        <f>D18+( 7-WEEKDAY(D18,3))</f>
        <v>45978</v>
      </c>
      <c r="E19" s="13">
        <f xml:space="preserve"> D19+(6-WEEKDAY(D19,3))</f>
        <v>45984</v>
      </c>
      <c r="F19" s="18" t="s">
        <v>21</v>
      </c>
    </row>
    <row r="20" spans="2:6" x14ac:dyDescent="0.2">
      <c r="B20" s="12" t="s">
        <v>22</v>
      </c>
      <c r="C20" s="12" t="str">
        <f t="shared" ref="C20:C30" si="0">YEAR(D20)&amp;"-"&amp;"W"&amp;TEXT(WEEKNUM(D20,21),"0#")</f>
        <v>2025-W48</v>
      </c>
      <c r="D20" s="13">
        <f t="shared" ref="D20:D30" si="1">D19+( 7-WEEKDAY(D19,3))</f>
        <v>45985</v>
      </c>
      <c r="E20" s="13">
        <f t="shared" ref="E20:E30" si="2" xml:space="preserve"> D20+(6-WEEKDAY(D20,3))</f>
        <v>45991</v>
      </c>
      <c r="F20" s="18" t="s">
        <v>21</v>
      </c>
    </row>
    <row r="21" spans="2:6" x14ac:dyDescent="0.2">
      <c r="B21" s="12"/>
      <c r="C21" s="12" t="str">
        <f t="shared" si="0"/>
        <v>2025-W49</v>
      </c>
      <c r="D21" s="13">
        <f t="shared" si="1"/>
        <v>45992</v>
      </c>
      <c r="E21" s="13">
        <f t="shared" si="2"/>
        <v>45998</v>
      </c>
      <c r="F21" s="18" t="s">
        <v>21</v>
      </c>
    </row>
    <row r="22" spans="2:6" x14ac:dyDescent="0.2">
      <c r="B22" s="12"/>
      <c r="C22" s="12" t="str">
        <f t="shared" si="0"/>
        <v>2025-W50</v>
      </c>
      <c r="D22" s="13">
        <f t="shared" si="1"/>
        <v>45999</v>
      </c>
      <c r="E22" s="13">
        <f t="shared" si="2"/>
        <v>46005</v>
      </c>
      <c r="F22" s="18" t="s">
        <v>21</v>
      </c>
    </row>
    <row r="23" spans="2:6" x14ac:dyDescent="0.2">
      <c r="B23" s="12"/>
      <c r="C23" s="12" t="str">
        <f t="shared" si="0"/>
        <v>2025-W51</v>
      </c>
      <c r="D23" s="13">
        <f t="shared" si="1"/>
        <v>46006</v>
      </c>
      <c r="E23" s="13">
        <f t="shared" si="2"/>
        <v>46012</v>
      </c>
      <c r="F23" s="18" t="s">
        <v>21</v>
      </c>
    </row>
    <row r="24" spans="2:6" x14ac:dyDescent="0.2">
      <c r="B24" s="12"/>
      <c r="C24" s="12" t="str">
        <f t="shared" si="0"/>
        <v>2025-W52</v>
      </c>
      <c r="D24" s="13">
        <f t="shared" si="1"/>
        <v>46013</v>
      </c>
      <c r="E24" s="13">
        <f t="shared" si="2"/>
        <v>46019</v>
      </c>
      <c r="F24" s="18" t="s">
        <v>21</v>
      </c>
    </row>
    <row r="25" spans="2:6" x14ac:dyDescent="0.2">
      <c r="B25" s="12"/>
      <c r="C25" s="12" t="str">
        <f t="shared" si="0"/>
        <v>2025-W01</v>
      </c>
      <c r="D25" s="13">
        <f t="shared" si="1"/>
        <v>46020</v>
      </c>
      <c r="E25" s="13">
        <f t="shared" si="2"/>
        <v>46026</v>
      </c>
      <c r="F25" s="18" t="s">
        <v>21</v>
      </c>
    </row>
    <row r="26" spans="2:6" x14ac:dyDescent="0.2">
      <c r="B26" s="12"/>
      <c r="C26" s="12" t="str">
        <f t="shared" si="0"/>
        <v>2026-W02</v>
      </c>
      <c r="D26" s="13">
        <f t="shared" si="1"/>
        <v>46027</v>
      </c>
      <c r="E26" s="13">
        <f t="shared" si="2"/>
        <v>46033</v>
      </c>
      <c r="F26" s="18" t="s">
        <v>21</v>
      </c>
    </row>
    <row r="27" spans="2:6" x14ac:dyDescent="0.2">
      <c r="B27" s="12"/>
      <c r="C27" s="12" t="str">
        <f t="shared" si="0"/>
        <v>2026-W03</v>
      </c>
      <c r="D27" s="13">
        <f t="shared" si="1"/>
        <v>46034</v>
      </c>
      <c r="E27" s="13">
        <f t="shared" si="2"/>
        <v>46040</v>
      </c>
      <c r="F27" s="18" t="s">
        <v>21</v>
      </c>
    </row>
    <row r="28" spans="2:6" x14ac:dyDescent="0.2">
      <c r="B28" s="12"/>
      <c r="C28" s="12" t="str">
        <f t="shared" si="0"/>
        <v>2026-W04</v>
      </c>
      <c r="D28" s="13">
        <f t="shared" si="1"/>
        <v>46041</v>
      </c>
      <c r="E28" s="13">
        <f t="shared" si="2"/>
        <v>46047</v>
      </c>
      <c r="F28" s="18" t="s">
        <v>21</v>
      </c>
    </row>
    <row r="29" spans="2:6" x14ac:dyDescent="0.2">
      <c r="B29" s="12" t="s">
        <v>28</v>
      </c>
      <c r="C29" s="12" t="str">
        <f t="shared" si="0"/>
        <v>2026-W05</v>
      </c>
      <c r="D29" s="13">
        <f t="shared" si="1"/>
        <v>46048</v>
      </c>
      <c r="E29" s="13">
        <f t="shared" si="2"/>
        <v>46054</v>
      </c>
      <c r="F29" s="17" t="s">
        <v>23</v>
      </c>
    </row>
    <row r="30" spans="2:6" x14ac:dyDescent="0.2">
      <c r="B30" s="12" t="s">
        <v>29</v>
      </c>
      <c r="C30" s="12" t="str">
        <f t="shared" si="0"/>
        <v>2026-W06</v>
      </c>
      <c r="D30" s="13">
        <f t="shared" si="1"/>
        <v>46055</v>
      </c>
      <c r="E30" s="13">
        <f t="shared" si="2"/>
        <v>46061</v>
      </c>
      <c r="F30" s="19" t="s">
        <v>24</v>
      </c>
    </row>
    <row r="32" spans="2:6" ht="10.5" x14ac:dyDescent="0.2">
      <c r="B32" s="8" t="s">
        <v>25</v>
      </c>
      <c r="C32" s="8"/>
      <c r="D32" s="8"/>
      <c r="E32" s="8"/>
      <c r="F32" s="8"/>
    </row>
    <row r="33" spans="2:6" ht="55" customHeight="1" x14ac:dyDescent="0.2">
      <c r="B33" s="3" t="s">
        <v>26</v>
      </c>
      <c r="C33" s="22" t="s">
        <v>30</v>
      </c>
      <c r="D33" s="22"/>
      <c r="E33" s="22"/>
      <c r="F33" s="22"/>
    </row>
    <row r="35" spans="2:6" ht="10.5" x14ac:dyDescent="0.2">
      <c r="B35" s="8" t="s">
        <v>27</v>
      </c>
      <c r="C35" s="8"/>
      <c r="D35" s="8"/>
      <c r="E35" s="8"/>
      <c r="F35" s="8"/>
    </row>
    <row r="36" spans="2:6" ht="29.5" customHeight="1" x14ac:dyDescent="0.2">
      <c r="B36" s="3" t="s">
        <v>31</v>
      </c>
      <c r="C36" s="22" t="s">
        <v>32</v>
      </c>
      <c r="D36" s="22"/>
      <c r="E36" s="22"/>
      <c r="F36" s="22"/>
    </row>
    <row r="37" spans="2:6" ht="10.5" x14ac:dyDescent="0.2">
      <c r="B37" s="8" t="s">
        <v>39</v>
      </c>
      <c r="C37" s="8"/>
      <c r="D37" s="8"/>
      <c r="E37" s="8"/>
      <c r="F37" s="8"/>
    </row>
    <row r="38" spans="2:6" ht="54.5" customHeight="1" x14ac:dyDescent="0.2">
      <c r="B38" s="3" t="s">
        <v>40</v>
      </c>
      <c r="C38" s="22" t="s">
        <v>44</v>
      </c>
      <c r="D38" s="22"/>
      <c r="E38" s="22"/>
      <c r="F38" s="22"/>
    </row>
    <row r="39" spans="2:6" ht="54.5" customHeight="1" x14ac:dyDescent="0.2">
      <c r="B39" s="3" t="s">
        <v>45</v>
      </c>
      <c r="C39" s="22" t="s">
        <v>46</v>
      </c>
      <c r="D39" s="22"/>
      <c r="E39" s="22"/>
      <c r="F39" s="22"/>
    </row>
  </sheetData>
  <mergeCells count="9">
    <mergeCell ref="C39:F39"/>
    <mergeCell ref="C38:F38"/>
    <mergeCell ref="C36:F36"/>
    <mergeCell ref="D9:F9"/>
    <mergeCell ref="C12:F12"/>
    <mergeCell ref="C13:F13"/>
    <mergeCell ref="C15:F15"/>
    <mergeCell ref="C33:F33"/>
    <mergeCell ref="C14:F14"/>
  </mergeCells>
  <conditionalFormatting sqref="C23:D29">
    <cfRule type="containsText" dxfId="2" priority="1" operator="containsText" text="CRITICAL">
      <formula>NOT(ISERROR(SEARCH("CRITICAL",C23)))</formula>
    </cfRule>
    <cfRule type="containsText" dxfId="1" priority="2" operator="containsText" text="WARNING">
      <formula>NOT(ISERROR(SEARCH("WARNING",C23)))</formula>
    </cfRule>
    <cfRule type="containsText" dxfId="0" priority="3" operator="containsText" text="OK">
      <formula>NOT(ISERROR(SEARCH("OK",C23)))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W12-30.Jan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Tony Nguyen</cp:lastModifiedBy>
  <cp:revision/>
  <dcterms:created xsi:type="dcterms:W3CDTF">2023-06-12T15:04:10Z</dcterms:created>
  <dcterms:modified xsi:type="dcterms:W3CDTF">2026-01-30T11:06:14Z</dcterms:modified>
  <cp:category/>
  <cp:contentStatus/>
</cp:coreProperties>
</file>