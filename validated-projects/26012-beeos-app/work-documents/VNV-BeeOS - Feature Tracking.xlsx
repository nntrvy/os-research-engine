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e54d77a9688661eb/VNV-Project/BEEOS/SharedDocument/FeatureTracking/"/>
    </mc:Choice>
  </mc:AlternateContent>
  <xr:revisionPtr revIDLastSave="17167" documentId="11_E3635A91D89360E2088FC70966A6DD3BA462BE81" xr6:coauthVersionLast="47" xr6:coauthVersionMax="47" xr10:uidLastSave="{E67CCF8C-8160-465E-A10E-E2467129C340}"/>
  <bookViews>
    <workbookView xWindow="28680" yWindow="-120" windowWidth="29040" windowHeight="16440" xr2:uid="{00000000-000D-0000-FFFF-FFFF00000000}"/>
  </bookViews>
  <sheets>
    <sheet name="WBS" sheetId="17" r:id="rId1"/>
    <sheet name="Highlight-Milestone" sheetId="19" r:id="rId2"/>
    <sheet name="WorkStream" sheetId="18" r:id="rId3"/>
  </sheets>
  <definedNames>
    <definedName name="_xlnm._FilterDatabase" localSheetId="0" hidden="1">WBS!$A$9:$M$194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17" l="1"/>
  <c r="A13" i="17" l="1"/>
  <c r="A15" i="17" l="1"/>
  <c r="F4" i="17"/>
  <c r="G4" i="17" s="1"/>
  <c r="E5" i="17"/>
  <c r="G5" i="17" l="1"/>
  <c r="H4" i="17"/>
  <c r="F5" i="17"/>
  <c r="I4" i="17" l="1"/>
  <c r="H5" i="17"/>
  <c r="J4" i="17" l="1"/>
  <c r="I5" i="17"/>
  <c r="J5" i="17" l="1"/>
  <c r="K4" i="17"/>
  <c r="L4" i="17" l="1"/>
  <c r="K5" i="17"/>
  <c r="M4" i="17" l="1"/>
  <c r="L5" i="17"/>
  <c r="M5" i="17" l="1"/>
  <c r="N4" i="17"/>
  <c r="O4" i="17" l="1"/>
  <c r="N5" i="17"/>
  <c r="O5" i="17" l="1"/>
  <c r="P4" i="17"/>
  <c r="Q4" i="17" s="1"/>
  <c r="Q5" i="17" l="1"/>
  <c r="R4" i="17"/>
  <c r="R5" i="17" s="1"/>
  <c r="P5" i="17"/>
  <c r="A16" i="17" l="1"/>
  <c r="A17" i="17" l="1"/>
  <c r="A18" i="17" s="1"/>
  <c r="A20" i="17" l="1"/>
  <c r="A21" i="17" l="1"/>
  <c r="A22" i="17" s="1"/>
  <c r="A23" i="17" l="1"/>
  <c r="A24" i="17" l="1"/>
  <c r="A25" i="17" l="1"/>
  <c r="A26" i="17" l="1"/>
  <c r="A27" i="17" l="1"/>
  <c r="A28" i="17" s="1"/>
  <c r="A29" i="17" s="1"/>
  <c r="A30" i="17" s="1"/>
  <c r="A32" i="17" s="1"/>
  <c r="A33" i="17" s="1"/>
  <c r="A35" i="17" s="1"/>
  <c r="A36" i="17" s="1"/>
  <c r="A37" i="17" s="1"/>
  <c r="A38" i="17" s="1"/>
  <c r="A39" i="17" s="1"/>
  <c r="A40" i="17" s="1"/>
  <c r="A41" i="17" l="1"/>
  <c r="A42" i="17" l="1"/>
  <c r="A43" i="17" s="1"/>
  <c r="A44" i="17" s="1"/>
  <c r="A45" i="17" s="1"/>
  <c r="A46" i="17" l="1"/>
  <c r="A47" i="17" s="1"/>
  <c r="A48" i="17" s="1"/>
  <c r="A50" i="17" s="1"/>
  <c r="A51" i="17" s="1"/>
  <c r="A52" i="17" s="1"/>
  <c r="A53" i="17" s="1"/>
  <c r="A54" i="17" s="1"/>
  <c r="A55" i="17" s="1"/>
  <c r="A57" i="17" s="1"/>
  <c r="A58" i="17" s="1"/>
  <c r="A59" i="17" s="1"/>
  <c r="A60" i="17" s="1"/>
  <c r="A62" i="17" s="1"/>
  <c r="A63" i="17" s="1"/>
  <c r="A64" i="17" s="1"/>
  <c r="A65" i="17" s="1"/>
  <c r="A66" i="17" s="1"/>
  <c r="A67" i="17" s="1"/>
  <c r="A68" i="17" l="1"/>
  <c r="A69" i="17" s="1"/>
  <c r="A70" i="17" l="1"/>
  <c r="A71" i="17" s="1"/>
  <c r="A72" i="17" s="1"/>
  <c r="A73" i="17" s="1"/>
  <c r="A74" i="17" s="1"/>
  <c r="A75" i="17" s="1"/>
  <c r="A76" i="17" s="1"/>
  <c r="A77" i="17" s="1"/>
  <c r="A78" i="17" s="1"/>
  <c r="A79" i="17" s="1"/>
  <c r="A80" i="17" s="1"/>
  <c r="A81" i="17" s="1"/>
  <c r="A82" i="17" s="1"/>
  <c r="A83" i="17" s="1"/>
  <c r="A84" i="17" s="1"/>
  <c r="A85" i="17" s="1"/>
  <c r="A87" i="17" s="1"/>
  <c r="A88" i="17" s="1"/>
  <c r="A89" i="17" s="1"/>
  <c r="A90" i="17" s="1"/>
  <c r="A91" i="17" s="1"/>
  <c r="A92" i="17" s="1"/>
  <c r="A94" i="17" s="1"/>
  <c r="A95" i="17" l="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2" i="17" l="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9" i="17" s="1"/>
  <c r="A160" i="17" s="1"/>
  <c r="A161" i="17" s="1"/>
  <c r="A162" i="17" s="1"/>
  <c r="A163" i="17" s="1"/>
  <c r="A164" i="17" s="1"/>
  <c r="A165" i="17" s="1"/>
  <c r="A167" i="17" s="1"/>
  <c r="A168" i="17" s="1"/>
  <c r="A169" i="17" s="1"/>
  <c r="A170"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1" i="17" s="1"/>
  <c r="A192" i="17" s="1"/>
</calcChain>
</file>

<file path=xl/sharedStrings.xml><?xml version="1.0" encoding="utf-8"?>
<sst xmlns="http://schemas.openxmlformats.org/spreadsheetml/2006/main" count="413" uniqueCount="277">
  <si>
    <t>BeeOS - Quản lý Công Việc</t>
  </si>
  <si>
    <t>(Updated 30.Jan.2026)</t>
  </si>
  <si>
    <t>Xong lập trình</t>
  </si>
  <si>
    <t>BeeVN test thử nghiệm trên STAG</t>
  </si>
  <si>
    <t>1. Continue thử nghiệm trên STAG (Last round)
2. Setup môi trường PROD</t>
  </si>
  <si>
    <t>Tiếp tục thử nghiệm trên STAG (Last round)</t>
  </si>
  <si>
    <t>Thử nghiệm với dữ liệu thật trên PRODUCTION (1 tuần)</t>
  </si>
  <si>
    <t>GOLIVE</t>
  </si>
  <si>
    <t>Updated 30.01.2026</t>
  </si>
  <si>
    <t>Hiện tại</t>
  </si>
  <si>
    <t>REQ&amp;Design (2 tuần)</t>
  </si>
  <si>
    <t>Lập trình (9 tuần)</t>
  </si>
  <si>
    <t>Kết thúc</t>
  </si>
  <si>
    <t>Tuần 1</t>
  </si>
  <si>
    <t>Tuần 2</t>
  </si>
  <si>
    <t>Tuần 3</t>
  </si>
  <si>
    <t>Tuần 4</t>
  </si>
  <si>
    <t>Tuần 5</t>
  </si>
  <si>
    <t>Tuần 6</t>
  </si>
  <si>
    <t>Tuần 7</t>
  </si>
  <si>
    <t>Tuần 8</t>
  </si>
  <si>
    <t>Tuần 9</t>
  </si>
  <si>
    <t>Tuần 10</t>
  </si>
  <si>
    <t>Tuần 11</t>
  </si>
  <si>
    <t>Tuần 12</t>
  </si>
  <si>
    <t>Tuần 13</t>
  </si>
  <si>
    <t>Tuần 14</t>
  </si>
  <si>
    <t>% hoàn thành</t>
  </si>
  <si>
    <t>6% (+4%)</t>
  </si>
  <si>
    <t>14% (+8%)</t>
  </si>
  <si>
    <t>21% (+7%)</t>
  </si>
  <si>
    <t>27% (+6%)</t>
  </si>
  <si>
    <t>50% (+23%)</t>
  </si>
  <si>
    <t>68% (+18%)</t>
  </si>
  <si>
    <t>79% (+11%)</t>
  </si>
  <si>
    <t>85% (+6%)</t>
  </si>
  <si>
    <t>90% (+5%)</t>
  </si>
  <si>
    <t>#</t>
  </si>
  <si>
    <t>Module</t>
  </si>
  <si>
    <t>Tính năng</t>
  </si>
  <si>
    <t>Chuẩn bị</t>
  </si>
  <si>
    <t>Ghi chú</t>
  </si>
  <si>
    <t>Setup dự án (codebase, cấu trúc, các thư viện cần thiết)</t>
  </si>
  <si>
    <t>Setup môi trường kiểm chứng tích hợp (2 môi trường Development &amp; Staging)</t>
  </si>
  <si>
    <t>Setup cơ sở dữ liệu</t>
  </si>
  <si>
    <t>Quản lý Tài Khoản</t>
  </si>
  <si>
    <t xml:space="preserve">Đăng nhập (với Email và mật khẩu) &amp; (có hỗ trợ tích hợp Gmail) </t>
  </si>
  <si>
    <t>Quên mật khẩu</t>
  </si>
  <si>
    <t>Quản lý tài khoản (xem danh sách, thêm, chỉnh sửa, xóa)</t>
  </si>
  <si>
    <t>Phân quyền (Roles &amp; Permissions)</t>
  </si>
  <si>
    <t>Quản lý chung</t>
  </si>
  <si>
    <t>Quản lý địa điểm (xem danh sách, thêm, chỉnh sửa, xóa)</t>
  </si>
  <si>
    <t>Quản lý KH (xem danh sách, thêm, chỉnh sửa, xóa)</t>
  </si>
  <si>
    <t>Quản lý hoại hình bảo hiểm (xem danh sách, thêm, chỉnh sửa, xóa)</t>
  </si>
  <si>
    <t>Quản lý phạm vi bảo hiểm (xem danh sách, thêm, chỉnh sửa, xóa)</t>
  </si>
  <si>
    <t>Quản lý điều khoản bổ xung (xem danh sách, thêm, chỉnh sửa, xóa)</t>
  </si>
  <si>
    <t>Quản lý điều khoản bổ xung - Tạo bộ Điều khoản bổ sung</t>
  </si>
  <si>
    <t>Quản lý khấu trừ (xem danh sách, thêm, chỉnh sửa, xóa)</t>
  </si>
  <si>
    <t>Quản lý công ty bảo hiểm (xem danh sách, thêm, chỉnh sửa, xóa)</t>
  </si>
  <si>
    <t>Quản lý nhóm rủi ro (xem danh sách, thêm, chỉnh sửa, xóa)</t>
  </si>
  <si>
    <t>(08.Dec) BeeVN y/c xóa</t>
  </si>
  <si>
    <t>Quản lý công ty giám định (xem danh sách, thêm, chỉnh sửa, xóa)</t>
  </si>
  <si>
    <t>Quản lý nhắc nhở (xem danh sách, thêm, chỉnh sửa, xóa)</t>
  </si>
  <si>
    <t>Quản trị hệ thống</t>
  </si>
  <si>
    <t>Xem danh sách tác vụ tự động dùng trong hệ thống (cronjobs)</t>
  </si>
  <si>
    <t>Chế độ bảo trì</t>
  </si>
  <si>
    <t>Cấp đơn</t>
  </si>
  <si>
    <t>Cấp đơn - Bảng điều khiển</t>
  </si>
  <si>
    <t>Cấp đơn - Tạo hồ sơ bảo hiểm (5 bước)</t>
  </si>
  <si>
    <t>Cấp đơn - Xem chi tiết</t>
  </si>
  <si>
    <t>Cấp đơn - Cập nhật hồ sơ bảo hiểm</t>
  </si>
  <si>
    <t>Cấp đơn - Quản lý HĐBH</t>
  </si>
  <si>
    <t>Cấp đơn - [Leader] Xem danh sách hồ sơ bảo hiểm cần phê duyệt</t>
  </si>
  <si>
    <t xml:space="preserve">Cấp đơn - [Leader] Step 1 - Duyệt công ty bảo hiểm </t>
  </si>
  <si>
    <t>Cấp đơn - [Leader]  Step 2 -  Duyệt tỉ lệ bảo hiểm</t>
  </si>
  <si>
    <t>(18.Dec) Add thêm 1 radio button chọn cty BH "Đại diện"</t>
  </si>
  <si>
    <t>Cấp đơn - Xem lịch sử chỉnh sửa (Activity log)</t>
  </si>
  <si>
    <t>[Underwriter] Renew insurance contract</t>
  </si>
  <si>
    <t>Phụ lục HĐ - Tạo phụ lục HĐ</t>
  </si>
  <si>
    <t>Phụ lục HĐ - Xem danh sách phụ lục HĐ trong hồ sơ chính</t>
  </si>
  <si>
    <t>Phụ lục HĐ - [Leader] Xem danh sách</t>
  </si>
  <si>
    <t>Phụ lục HĐ - [Leader] Duyệt phụ lục HĐ</t>
  </si>
  <si>
    <t>Bồi thường</t>
  </si>
  <si>
    <t>Bồi thường  - Bảng điều khiển</t>
  </si>
  <si>
    <t>Bồi thường - Tạo mới hồ sơ bồi thường</t>
  </si>
  <si>
    <t>Bồi thường - Cập nhật  hồ sơ bồi thường</t>
  </si>
  <si>
    <t>Bồi thường - xem danh sách bồi thường</t>
  </si>
  <si>
    <t>Bồi thường - Xem lịch sử chỉnh sửa (Activity log)</t>
  </si>
  <si>
    <t>Bồi thường - Báo cáo tổng hợp về sự cố bồi thường</t>
  </si>
  <si>
    <t>Khác</t>
  </si>
  <si>
    <t>Email &amp; xac nhận thanh toán - Hệ thống tự động gửi email thông báo thanh toán đến CTBH.</t>
  </si>
  <si>
    <t>Di chuyển dữ liệu cũ về hệ thống mới</t>
  </si>
  <si>
    <t>Leader - Mobile Responsive</t>
  </si>
  <si>
    <t>Thông báo qua zalo</t>
  </si>
  <si>
    <t>Feedback 17.Dec (https://pitch.com/v/beeos-feedback-xiqgni/eb4bf2bd-5e56-4ad9-b012-f366eddea9b2)</t>
  </si>
  <si>
    <t>Slide #3 - Cấp đơn / Dashboard: Thay 2 charts bằng bảng phân công công việc theo {month} --&gt; Hiển thị những đơn chuẩn bị đến hạn tái tục (trước 45, 90 ngày)</t>
  </si>
  <si>
    <t>Feedback (17.Dec)</t>
  </si>
  <si>
    <t>Slide #4: Cấp đơn / Tạo hồ sơ BH / Bước 1: Luôn cho phép tạo cấp đơn mới (nếu muốn)</t>
  </si>
  <si>
    <t>Slide #5: Cấp đơn / Tạo hồ sơ BH / Bước 4: Nhập phí BH:  Thêm 1 column tự động tính toán và hiện tỉ lệ phí (Số tiền BH x tỉ lệ phí = Phí BH)</t>
  </si>
  <si>
    <t>Slide #6: Cấp đơn / Tạo hồ sơ BH / Bước 4: Thống kê bồi thường 3 năm (e.g.: 690 triệu):  Tính SUM (Dự tính bồi thường &amp; số tiền đã tạm ứng)</t>
  </si>
  <si>
    <t>Slide #7: Cấp đơn / Tạo hồ sơ BH / Tạo phụ lục:  Sửa "Ghi chú" -&gt; "Tóm tắt nội dung sửa đổi bổ xung", bỏ: "Người được bảo hiểm", thêm: Toggle Yes/No thay đổi số tiền/phí BH.</t>
  </si>
  <si>
    <t>Slide #9: Cấp đơn / Leader phê duyệt / Sau khi phê duyệt: Thêm tính năng xem bản chào trên mobile</t>
  </si>
  <si>
    <t>Slide #9: Cấp đơn / Leader phê duyệt / Sau khi phê duyệt: Xem kq duyệt ntn, thay đổi gì so với đề xuất ban đầu.</t>
  </si>
  <si>
    <t>Feedback (17.Dec)
Team đề xuất sử dụng tính năng xem Activity log</t>
  </si>
  <si>
    <t>Slide #11: Cấp đơn / Quản lý HĐBH / Main screen: Sửa: Loại hình, Địa điểm, Số tiền BH, Ngày hết hạn, trạng thái. Bỏ "Tạo hồ sơ BH" thay bằng  "Xuất dữ liệu": visualize với filter theo năm, loại hình, ...)</t>
  </si>
  <si>
    <t>Slide #11: Cấp đơn / Quản lý HĐBH / Main screen:  Xử lý "Xuất dữ liệu": visualize với filter theo năm, loại hình, ...)</t>
  </si>
  <si>
    <t>Slide #12: Cấp đơn / Quản lý HĐBH / Trạng thái: (1) Tách biệt trạng thái HĐ và trạng thái thanh toán.</t>
  </si>
  <si>
    <t>Slide #12: Cấp đơn / Quản lý HĐBH / Trạng thái: (2-a,b,d) Thay đổi "Đã cấp HĐ xuống cuối, đổi tên thành "Đã lưu bản cứng HĐ, chuyển trạng thái sau khi upload file PDF.</t>
  </si>
  <si>
    <t>Slide #12: Cấp đơn / Quản lý HĐBH / Trạng thái: (2-c) New rule: sau 60 ngày, gửi email để nhắc (1 cho nội bộ, 1 cho cty BH)</t>
  </si>
  <si>
    <t>Slide #13: Cấp đơn / Quản lý HĐBH / Trạng thái: Đổi "Cần thanh toán" --&gt; "Chờ thanh toán", trigger event: sau khi người dùng upload bản final (.docx)</t>
  </si>
  <si>
    <t xml:space="preserve">Slide #15#18 Cấp đơn / Xem chi tiết HDBH - Overall feedback : (1) Thông tin cơ bản: Chỉ show 6 thông tin chính - Bỏ DKBS &amp; múc khấu trừ, - (4) Phụ lục hợp đồng </t>
  </si>
  <si>
    <t>Slide #16 Cấp đơn / Xem chi tiết HDBH: Bỏ "Mã tham chiếu", "Lần cuối chỉnh sửa", làm chữ to hơn với "trạng thái", "Lịch sử chỉnh sửa"</t>
  </si>
  <si>
    <t>Slide #17 Cấp đơn / Xem chi tiết HDBH: Lich sử thay đổi: &lt;to be defined&gt;</t>
  </si>
  <si>
    <t>Slide #19 Cấp đơn / Xem chi tiết HDBH - Section 2: Hợp đồng BH :(2) Bản chào &amp; Dự thào HD &amp; HD đã ký &amp; những tài liệu đính kèm.</t>
  </si>
  <si>
    <t xml:space="preserve">Slide #20 Cấp đơn / Xem chi tiết HDBH - Section 3: Cty BH cấp đơn : (3) Công ty bảo hiểm cấp đơn
</t>
  </si>
  <si>
    <t>Slide #21 Cấp đơn / Xem chi tiết HDBH - Section 4: Phụ lục hợp đồng: xem chi tiết, bỏ "Mã tham chiếu", "Lần cuối chỉnh sửa", làm chữ to hơn với "trạng thái", "Lịch sử chỉnh sửa"</t>
  </si>
  <si>
    <t>Slide #23: Bồi thường / Số tiền claim bồi thường: Chỉ còn 4 loại thay vì 5 như trước đây</t>
  </si>
  <si>
    <t>Slide #24: Bồi thường / Tạo mới hồ sơ bồi thường / nhập thông tin ban đầu: Bỏ ước tính tổn thất.</t>
  </si>
  <si>
    <t>Slide #25: Bồi thường / Danh sách bồi thường: Bỏ "ước tình tổn thất," thay bằng "Dự tính bồi thường", thêm cột "Đã tạm ứng"</t>
  </si>
  <si>
    <t>Slide #26: Bồi thường / Xem chi tiết bồi thường:  Bỏ "ước tình tổn thất," thay bằng "Dự tính bồi thường".</t>
  </si>
  <si>
    <t>Slide #27: Bồi thường / Đồng bộ giao diện
- Change UI</t>
  </si>
  <si>
    <t>Feedback 06.Jan (https://vinova365-my.sharepoint.com/:x:/r/personal/nicky_vinova_com_sg/Documents/BeeOS-Bug%20List.xlsx?d=w02d8da1ef2e143e59d2121daaec1eec1&amp;csf=1&amp;web=1&amp;e=3KqkQg) - Label: "BeeOS_Feedback"</t>
  </si>
  <si>
    <t>[Feedback-6/1][Underwriter] Wrong field name</t>
  </si>
  <si>
    <t>Feedback (06.Jan)</t>
  </si>
  <si>
    <t xml:space="preserve">[Feedback-6/1][Underwriter] Login with Google </t>
  </si>
  <si>
    <t>[Feedback-6/1][Underwriter] Auto fill end date when creating new contract</t>
  </si>
  <si>
    <t>[Feedback-6/1][Underwriter] Update Quotation exported docx</t>
  </si>
  <si>
    <t>[Feedback-6/1][Enhance][Admin] Update sidebar menu for Admin</t>
  </si>
  <si>
    <t>[Feedback-6/1][Underwriter] Add "View Quotation" button in view contract detail</t>
  </si>
  <si>
    <t>Feedback 9.Jan (https://miro.com/app/board/uXjVGTYvglw=/) - Label: "BeeOS_Feedback"</t>
  </si>
  <si>
    <t>[BeeVN_Feedback_1201][CMS] Đổi tên module “Khách hàng” thành “P&amp;L”</t>
  </si>
  <si>
    <t>Feedback (09.Jan)</t>
  </si>
  <si>
    <t>[BeeVN_Feedback_1201][CMS] Tạo mới module Người được bảo hiểm “NĐBH”</t>
  </si>
  <si>
    <t>[BeeVN_Feedback_1201][CMS] Địa điểm - Thêm "Tên rút gọn", thay “Đối tượng bảo hiểm” = “Địa chỉ”</t>
  </si>
  <si>
    <t>[BeeVN_Feedback_1201][CMS] Edit Địa điểm  - add more info: L/s chào phí, L/s bồi thường, D/s NDBH</t>
  </si>
  <si>
    <t>[BeeVN_Feedback_1201]CMS] Bỏ dữ liệu  "Status" và cột "Status" trong các module common</t>
  </si>
  <si>
    <t>[BeeVN_Feedback_1201][CMS] Công ty BH - Thay “Mã Công ty” = “Tên viết tắt”, bỏ “Chi nhánh”, thêm "Thông tin bổ sung"</t>
  </si>
  <si>
    <t>[BeeVN_Feedback_1201][CMS] Loại hình BH - Thêm “Tên viết tắt”, Thay cột “mô tả” = dữ liệu “Phạm vi BH” ngoài trang list, hỗ trợ RTE đơn giản</t>
  </si>
  <si>
    <t>[BeeVN_Feedback_1201][Underwirter Cho phép “Tạo nhanh” 1 địa điểm. Hiển thị popup.</t>
  </si>
  <si>
    <t>[BeeVN_Feedback_1201][Underwriter] “Loại hình BH”, "Địa điểm":  Hỗ trợ auto-suggestion search theo “Tên viết tắt” và “Tên đầy đủ”. Hiển thị kết quả theo “Tên đầy đủ”</t>
  </si>
  <si>
    <t>[BeeVN_Feedback_1201][Underwriter] “Người được BH”: nhập nhiều NĐBH và refilled text "là Chủ đầu tư …"</t>
  </si>
  <si>
    <t>[BeeVN_Feedback_1201][Underwriter]Cập nhật logic "Ngày kết thúc”: default 1 năm. Ví dụ: như ngày bắt đầu 11/01/2026, thì ngày kết thúc là 10/01/2027 (-1)</t>
  </si>
  <si>
    <t>[BeeVN_Feedback_1201]Underwriter] “Hạng mục”, “Hạng mục con”: cho phép nhiều space để nhập liệu.</t>
  </si>
  <si>
    <t>[BeeVN_Feedback_1201][Underwriter] Mức khấu trừ: KHÔNG hiển thị decimal place (hiện giờ đang hiển thị)</t>
  </si>
  <si>
    <t>[BeeVN_Feedback_1201][Underwriter] Bước 3 - Thống kê: Bug: thiếu thông in hiển thị trên chart</t>
  </si>
  <si>
    <t>[BeeVN_Feedback_1201][Underwriter] Tỉ lệ phí BH: cho phép nhập “0%” (có trường hợp BH tặng free)</t>
  </si>
  <si>
    <t>[BeeVN_Feedback_1201][Underwriter] “Để xuất công ty bảo hiểm”: Hỗ trợ auto-suggestion search theo “Tên viết tắt” và “Tên đầy đủ”. Hiển thị kết quả theo “Tên viết tắt”</t>
  </si>
  <si>
    <t>[BeeVN_Feedback_1201][Underwriter] Quản lý HĐ: Bug cần fix: 2 HĐ giống nhau. Bị duplicated.</t>
  </si>
  <si>
    <t>[BeeVN_Feedback_1201] Chỉnh lại màu sắc tên trạng thái cho đúng (grey, orange, blue, green). Đổi tên “Đã lưu dự thảo HĐ” = “TBH đã duyệt”</t>
  </si>
  <si>
    <t>[BeeVN_Feedback_1201]  cho phép sửa thông tin ở những trạng thái: từ trước đến “Đã duyệt năng lực”, Giữ nguyên, không thay đổi trạng thái hiện tại.</t>
  </si>
  <si>
    <t>[BeeVN_Feedback_1201][Underwriter] Thông tin bảo hiểm: Tỉ lệ phí bảo hiểm, số tiền BH nên thể hiện full thông tin hay thông tin chi tiết.</t>
  </si>
  <si>
    <t>[BeeVN_Feedback_1201][Underwriter] Hướng dẫn upload file, thay text đơn giản, như “Tải lên (không quá 25mb/file)”</t>
  </si>
  <si>
    <t>[BeeVN_Feedback_1201] Thay “Kỳ hạn” = “Kỳ hạn thanh toán” và sửa lỗi logic</t>
  </si>
  <si>
    <t>[BeeVN_Feedback_1201][CMS] Loại hình BH: Thêm “Tên viết tắt”, Thay cột “mô tả” = dữ liệu “Phạm vi BH” ngoài trang list. hỗ trợ RTE đơn giản.</t>
  </si>
  <si>
    <t>[BeeVN_Feedback_1201][CMS] Loại hình BH: Hỗ trợ RTE đơn giản.</t>
  </si>
  <si>
    <t>[BeeVN_Feedback_1201][CMS] Fix minor issue "dấu :" của ĐK bổ xung khi không có value của chi tiết</t>
  </si>
  <si>
    <t>[BeeVN_Feedback_1201][Leader] Cập nhật trang danh sách phê duyệt</t>
  </si>
  <si>
    <t>[BeeVN_Feedback_1201][Leader] Chi tiết chờ phê duyệt - optimize dữ liệu show trong trang</t>
  </si>
  <si>
    <t>[BeeVN_Feedback_1201][Leader] Hỗ trợ tính năng cho phép từ chối phê duyệt.</t>
  </si>
  <si>
    <t>[BeeVN_Feedback_1201][Leader] [BeeVN_Feedback_1201][Leader] Chi tiết chờ phê duyệt - bỏ Mã tham chiếu</t>
  </si>
  <si>
    <t>[BeeVN_Feedback_1201][Leader] - cho phép "Từ chối" + Ghi chú</t>
  </si>
  <si>
    <t>HĐBH - Thêm 2 trạng thái từ chối e.g.: "Chỉnh sửa để xuất", "Chỉnh sửa năng lực"</t>
  </si>
  <si>
    <t>Phụ lục: cho phép link (xem chi tiết) HĐ chính</t>
  </si>
  <si>
    <t>[BeeVN_Feedback_1201][Mobile] Xem bản chào phí -&gt; Download bản chào phí</t>
  </si>
  <si>
    <t>[BeeVN_Feedback_1201][Mobile] move chart Tỷ lệ phí lên ấy a. để gom vào mục 'Thống kê 3 năm gần nhất' luôn</t>
  </si>
  <si>
    <t>[BeeVN_Feedback_1201][Claim Officer] Add thêm field Chú thích địa điểm</t>
  </si>
  <si>
    <t>[BeeVN_Feedback_1201][CMS] Quản lý địa điểm - Thêm danh sách tất cả địa điểm</t>
  </si>
  <si>
    <t>Feedback 19.Jan (https://miro.com/app/board/uXjVGO4LB_o=/) - Label: "BeeOS_Feedback"</t>
  </si>
  <si>
    <t>Feedback_1901][Underwriter] Cấp đơn bước 1: Sửa thông báo lưu ý</t>
  </si>
  <si>
    <t>Feedback (19.Jan)</t>
  </si>
  <si>
    <t>[Feedback_1901][Underwriter] Cấp đơn bước 1: Người được bảo hiểm không hiển thị all</t>
  </si>
  <si>
    <t>[Feedback_1901][Underwriter] Cấp đơn bước 1: Disable nút "Tiếp theo"</t>
  </si>
  <si>
    <t>[Feedback_1901][Underwriter] Cấp đơn bước 4: Sai tổng phí 3 năm</t>
  </si>
  <si>
    <t>[Feedback_1901][Underwriter] Cấp đơn bước 4: Sort lại luỹ kế</t>
  </si>
  <si>
    <t>[Feedback_1901][Underwriter] Cấp đơn bước 4: Cho phép nhập phí và tính lại tỉ lệ</t>
  </si>
  <si>
    <t>[Feedback_1901][Underwriter]Chi tiết HĐ: Sai số tiền ở kỳ hạn</t>
  </si>
  <si>
    <t>[Feedback_1901][Underwriter] Sai lịch sử chỉnh sửa</t>
  </si>
  <si>
    <t>[Feedback_1901][Migration] Chuẩn hoá Loại hình, Phạm vi bảo hiểm</t>
  </si>
  <si>
    <t xml:space="preserve">[Feedback_1901][Admin] Cho phép edit/xoá HĐBH </t>
  </si>
  <si>
    <t>[Feeback_1901][CMS] Thêm text edior cho phạm vi bảo hiểm</t>
  </si>
  <si>
    <t>[Feedback_1901][CMS] Chỉnh sửa tạo mức khấu trừ</t>
  </si>
  <si>
    <t>[Feedback_1901][Underwriter] MKT Bỏ decimal places</t>
  </si>
  <si>
    <t>[Feeback_1901][CMS] Xoá NĐBH</t>
  </si>
  <si>
    <t>[Feeback_1901][Underwriter] Cấp đơn bước 1: sửa tại text mặc định</t>
  </si>
  <si>
    <t>[Feedback_1901][Claim] Thay đổi vị trí hiển thị ghi chú địa điểm</t>
  </si>
  <si>
    <t xml:space="preserve">[Feedback_2001][Underwriter] Bảng phân công - Update UI phân công </t>
  </si>
  <si>
    <t>Feedback (20.Jan)</t>
  </si>
  <si>
    <t>[Feedback_2001][Underwriter] Bảng phân công - Update tiêu đề</t>
  </si>
  <si>
    <t>[Feedback_2001][Underwriter] Bảng phân công - Sửa Ngày hiệu lực thành ngày kết thúc</t>
  </si>
  <si>
    <t>[Feedback_2001][Underwriter] Bảng phân công - Update UI</t>
  </si>
  <si>
    <t>[Claim] Số ngày xử lý bồi thường: Khoá lại "Số ngày xử lý bồi thường" sau khi Claim được cập nhật trạng thái thành "Đóng"</t>
  </si>
  <si>
    <t>[Feedback_2001] Kiểm tra lại Những vụ cần xem - Click vào chart sẽ filter theo trạng thái</t>
  </si>
  <si>
    <t>[Feedback_2001] Cập nhật Địa điểm có P&amp;L không xác định</t>
  </si>
  <si>
    <t>Feedback (21.Jan)</t>
  </si>
  <si>
    <t>[Feedback_2201] [Mobile] View detail phụ luc - Add link to HĐ chính</t>
  </si>
  <si>
    <t>[Feedback_2201] [Mobile] View detail phụ luc - Bổ xung thêm section Ngày bắt đầu hiệu lực của PL</t>
  </si>
  <si>
    <t>[Feedback_2201] [Mobile] View HĐ detail</t>
  </si>
  <si>
    <t>Feedback 21.Jan (https://miro.com/app/board/uXjVGNItZy0=/) - Label: "BeeOS_Feedback"</t>
  </si>
  <si>
    <t>[Feedback_2101][Underwriter] Bảng phân công: Lấy tất cả HĐ sắp hết hạn trong vòng 45 ngày</t>
  </si>
  <si>
    <t>[Feedback_2101] Xuất danh sách HĐBH: sort theo ngày hiệu lực từ Cũ đến Lớn</t>
  </si>
  <si>
    <t>[Feedback_2101][Underwriter] Chi tiết HĐ: Thêm trường Pháp nhân cấp đơn</t>
  </si>
  <si>
    <t>[Feedback_2101][Underwriter] Export danh sách HĐ: Thêm trường Pháp nhân cấp đơn vào file export</t>
  </si>
  <si>
    <t>[Feedback_2101][Underwriter] Cấp đơn: tạo MKT và ĐKBS ngay màn hình cấp đơn</t>
  </si>
  <si>
    <t>[Feedback_2101][Underwriter] Tái tục: cho phép tạo trước 60 ngày thay vì 45</t>
  </si>
  <si>
    <t>[Feedback_2101][Data Migration] Kiểm tra lại Loại hình, phạm vi, bộ và ĐKBS</t>
  </si>
  <si>
    <t xml:space="preserve">Feedback 23.Jan </t>
  </si>
  <si>
    <t>[Feedback_2201] Add thêm cột Loại hình vào</t>
  </si>
  <si>
    <t>Feedback (23.Jan)</t>
  </si>
  <si>
    <t>[Feedback_2301] Đơn HIO: Nhập hết thông tin nhưng không sang được bước tiếp theo
Cải tiến thêm:
- Cho phép ĐKBS optional, tương tự kiểm tra hêm MKT.</t>
  </si>
  <si>
    <t>[Feeback_2601][Underwriter] Cho phép Underwriter thêm MKT và ĐKBS</t>
  </si>
  <si>
    <t xml:space="preserve">[Feedback_2601] Biểu đồ: Tỉ lệ phí lịch sử </t>
  </si>
  <si>
    <t xml:space="preserve">Feedback 26.Jan </t>
  </si>
  <si>
    <t>[Feedback_2701] Kiểm tra lại thời gian tạo của data import 
&gt;&gt;&gt; Fix lỗi hiển thị đơn mới tạo xuông dưới cùng</t>
  </si>
  <si>
    <t>Feedback (26.Jan)</t>
  </si>
  <si>
    <t xml:space="preserve">[Feedback_2701] Phụ lục: tính lại số ngày hiệu lực </t>
  </si>
  <si>
    <t>[Feedback_2701] Phụ lục: Cho phép Ngày bắt đầu = Ngày kết thúc</t>
  </si>
  <si>
    <t>[Feeback_2701] Cấp đơn: Không lưu form</t>
  </si>
  <si>
    <t xml:space="preserve">[Feeback_2701] Cấp đơn: Đổi nhãn Địa điểm và thêm 2 placeholder </t>
  </si>
  <si>
    <t xml:space="preserve">[Feedback_2701][CMS] Địa điểm: Đổi tên cột </t>
  </si>
  <si>
    <t>[Feeback_2701] Cấp đơn: Chỉnh sửa Bước 4 (Ghi chú và Tài liệu để cùng 1 hàng, design update sau)</t>
  </si>
  <si>
    <t>[Feeback_2701] Cấp đơn: Tạo Địa điểm nhanh - Tên rút gọn optional</t>
  </si>
  <si>
    <t>[Feeback_2701] Xem bảng chào phí: Đổi lại format hiển thị Địa điểm</t>
  </si>
  <si>
    <t>[Feedback_2701] Bảng chào phí: Bóc tách chi tiết từng phạm vi và số tiền</t>
  </si>
  <si>
    <t>[Feeback_2701] Bảng chào phí: Bỏ dấu 2 chấm</t>
  </si>
  <si>
    <t>[Feeback_2701] Chi tiết HĐ: Thêm phần ghi chú/ý kiến gửi lãnh đao</t>
  </si>
  <si>
    <t>[Feeback_2701] Leader duyệt: sửa lại bảng tỉ lệ phí (đợi design)</t>
  </si>
  <si>
    <t>[Feeback_2701] Dữ liệu bồi thường 3 năm chưa đúng</t>
  </si>
  <si>
    <t>[Feebaack_2701] Lấy data luỹ kế năm 2026 (năm hiện tại)</t>
  </si>
  <si>
    <t>[Feedback_2701] Thêm thông tin số tiền vào phụ lục</t>
  </si>
  <si>
    <t>[Feedback_2701] Leader: Sửa lại danh sách HĐ đã duyệt</t>
  </si>
  <si>
    <t>[Feedback_2701][Leader] Desktop + Mobile: Thêm section Ý kiến gửi bạn LĐ và tài liệu đính kèm</t>
  </si>
  <si>
    <t xml:space="preserve">Feedback 30.Jan </t>
  </si>
  <si>
    <t>Mobile - Chi tiết HĐBH - sửa lại Heading +Thay tên người up với tên file 
Bỏ ngày up</t>
  </si>
  <si>
    <t>Feedback (30.Jan)</t>
  </si>
  <si>
    <t>[Feeback_3001] HS đã duyệt -&gt; khi click chuyển qua trang Xem chi tiết</t>
  </si>
  <si>
    <t>BeeOS - Các bước triển khai tiếp theo</t>
  </si>
  <si>
    <t>Updated 29.Jan.2026</t>
  </si>
  <si>
    <t>Các mốc quan trọng</t>
  </si>
  <si>
    <t>Từ ngày</t>
  </si>
  <si>
    <t>Đến ngày</t>
  </si>
  <si>
    <t>Người phụ trách</t>
  </si>
  <si>
    <t>Trạng thái</t>
  </si>
  <si>
    <t>Mong đợi nhận được</t>
  </si>
  <si>
    <t>Triển khai production</t>
  </si>
  <si>
    <t>Vinova</t>
  </si>
  <si>
    <t>Done</t>
  </si>
  <si>
    <t>Hoàn thành deploy toàn bộ lên production (bao gồm data migration)</t>
  </si>
  <si>
    <t>Chạy thử nghiệm thực tế</t>
  </si>
  <si>
    <t>BeeVN</t>
  </si>
  <si>
    <t>&gt;&gt;&gt; Gửi feedback cho Vinova ngay để được hỗ trợ liền</t>
  </si>
  <si>
    <t>Hỗ trợ hot fix production</t>
  </si>
  <si>
    <t>Hot fix khi có sự cố trên production</t>
  </si>
  <si>
    <t>Chờ tới lượt</t>
  </si>
  <si>
    <t>Làm thủ tục GOLIVE, kết thúc dự án.</t>
  </si>
  <si>
    <t>BeeOS - Hạng mục công việc</t>
  </si>
  <si>
    <t>Updated 17.Dec.2025</t>
  </si>
  <si>
    <t>Hạng mục công việc</t>
  </si>
  <si>
    <t>Tham khảo</t>
  </si>
  <si>
    <t>Tài liệu đặc tả yêu cầu (Business Requirement Document)</t>
  </si>
  <si>
    <t>21/10/2025</t>
  </si>
  <si>
    <t>Xong</t>
  </si>
  <si>
    <t>Tài liệu đặc tả liên quan đến các phần sau:
- Công nghệ sử dụng &amp; kiến trúc hạ tầng
- Phân quyền (Admin, Underwriter, Claim, Leader)
- Luồng nghiệp vụ chính (cấp đơn &amp; bồi thường)
- Sơ đồ chuyển trạng thái của đối tượng.
- Đặc tả các usecase (cách người dùng tương tác với hệ thống để hoàn thành nhiệm vụ hoặc đạt được mục tiêu)
- Đặc tả các tác vụ tự động
- Đặc tả mẫu email và thông báo qua Zalo.</t>
  </si>
  <si>
    <t>Link tham khảo: https://1drv.ms/w/c/e54d77a9688661eb/IQA_KvfTB94kRooViTpbHG5ZAUAsGSsDqWKU6Ph60LyEEYs?e=Ygw1hq</t>
  </si>
  <si>
    <t>Design</t>
  </si>
  <si>
    <t>Đã thiết kế toàn bộ các tính năng chính của dự án:
- Cấp đơn (Dashboad, quản lý cấp đơn, tạo cấp đơn [mới, tái tục, phụ lục HĐ], phê duyệt dành cho Leader [phiên bản desktop &amp; mobile)
- Bồi thường (Dashboard, tạo và quản lý bồi thường)
- Quản lý chung (Quản lý khách hàng &amp; địa điểm, loại hình bảo hiểm, điều khoản bổ xung và tạo bộ điều khoản bổ xung, phạm vi bảo hiểm, khấu trừ, công ty bảo hiểm, nhóm tổ thất, tài khoản [đăng nhập, phân quyền, quản lý tài khoản)</t>
  </si>
  <si>
    <t>Link prototype tham khảo: https://www.figma.com/proto/q5q3eZrNDFgw4MWAJ0yp09/BeeOS-Design?page-id=0%3A1&amp;node-id=3501-40915&amp;viewport=-9584%2C-24016%2C0.82&amp;t=KK6cnO3HVO7UYJb7-1&amp;scaling=scale-down&amp;content-scaling=fixed&amp;starting-point-node-id=3501%3A40915&amp;show-proto-sidebar=1</t>
  </si>
  <si>
    <t>Lập trình</t>
  </si>
  <si>
    <t>Luồng cấp đơn &amp; các tính năng bổ trợ có liên quan.
- Bảng điều khiển
- Tạo hồ sơ bảo hiểm (5 bước)
- Xem chi tiết
- Cập nhật hồ sơ bảo hiểm
- Quản lý HĐBH
- [Leader] Xem danh sách hồ sơ bảo hiểm cần phê duyệt
- [Leader] Step 1 - Duyệt công ty bảo hiểm 
- [Leader]  Step 2 -  Duyệt tỉ lệ bảo hiểm
- Xem lịch sử chỉnh sửa (Activity log)
- Renew insurance contract
- Phụ lục HĐ - Tạo phụ lục HĐ
- Phụ lục HĐ - Xem danh sách phụ lục HĐ trong hồ sơ chính
- Phụ lục HĐ - [Leader] Xem danh sách
- Phụ lục HĐ - [Leader] Duyệt phụ lục HĐ</t>
  </si>
  <si>
    <t>Link tham khảo (tab "WBS"): https://1drv.ms/x/c/e54d77a9688661eb/IQAPWdlUII2rTrN3ZHKsEcahAZ9FE78wboQ63S-NTLAePfs?e=ptZjxg</t>
  </si>
  <si>
    <t>Luồng bồi thường &amp; các tính năng bổ trợ có liên quan.
- Bảng điều khiển
- Tạo mới hồ sơ bồi thường
- Cập nhật  hồ sơ bồi thường
- xem danh sách bồi thường
- Xem lịch sử chỉnh sửa (Activity log)
- Báo cáo tổng hợp về sự cố bồi thường</t>
  </si>
  <si>
    <t xml:space="preserve">Quản lý chung
- Quản lý tài khoản 
- Quản lý địa điểm 
- Quản lý KH 
- Quản lý hoại hình bảo hiểm 
- Quản lý phạm vi bảo hiểm 
- Quản lý điều khoản bổ xung 
- Quản lý điều khoản bổ xung - Tạo bộ Điều khoản bổ sung
- Quản lý khấu trừ 
- Quản lý công ty bảo hiểm 
- Quản lý nhóm rủi ro </t>
  </si>
  <si>
    <t>Kiểm thử và khắc phục lỗi</t>
  </si>
  <si>
    <t>Thử nghiệm vận hành toàn bộ hệ thống (UAT)</t>
  </si>
  <si>
    <t>Hỗ trợ kỹ thuật và triển khai GOLIVE (PRODUCTION)</t>
  </si>
  <si>
    <t>Hỗ trợ sau GOLIVE</t>
  </si>
  <si>
    <t>Hỗ trợ bảo trì</t>
  </si>
  <si>
    <t>95%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</si>
</sst>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809]d\ mmm\ yyyy;@"/>
  </numFmts>
  <fonts count="15" x14ac:knownFonts="1">
    <font>
      <sz val="11"/>
      <color theme="1"/>
      <name val="Calibri"/>
      <family val="2"/>
      <scheme val="minor"/>
    </font>
    <font>
      <sz val="8"/>
      <color theme="1"/>
      <name val="Arial"/>
      <family val="2"/>
    </font>
    <font>
      <b/>
      <sz val="8"/>
      <color theme="1"/>
      <name val="Arial"/>
      <family val="2"/>
    </font>
    <font>
      <sz val="8"/>
      <color rgb="FFFF0000"/>
      <name val="Arial"/>
      <family val="2"/>
    </font>
    <font>
      <sz val="8"/>
      <name val="Calibri"/>
      <family val="2"/>
      <scheme val="minor"/>
    </font>
    <font>
      <sz val="11"/>
      <color theme="1"/>
      <name val="Calibri"/>
      <family val="2"/>
      <scheme val="minor"/>
    </font>
    <font>
      <sz val="8"/>
      <color rgb="FF000000"/>
      <name val="Arial"/>
      <family val="2"/>
    </font>
    <font>
      <sz val="8"/>
      <color rgb="FF0000FF"/>
      <name val="Arial"/>
      <family val="2"/>
    </font>
    <font>
      <b/>
      <sz val="14"/>
      <color rgb="FF000000"/>
      <name val="Arial"/>
      <family val="2"/>
    </font>
    <font>
      <b/>
      <sz val="8"/>
      <color rgb="FFFF0000"/>
      <name val="Arial"/>
      <family val="2"/>
    </font>
    <font>
      <b/>
      <sz val="8"/>
      <color rgb="FF0000FF"/>
      <name val="Arial"/>
      <family val="2"/>
    </font>
    <font>
      <strike/>
      <sz val="8"/>
      <color theme="1"/>
      <name val="Arial"/>
      <family val="2"/>
    </font>
    <font>
      <b/>
      <sz val="8"/>
      <color rgb="FFFFFFFF"/>
      <name val="Arial"/>
      <family val="2"/>
    </font>
    <font>
      <sz val="8"/>
      <color theme="5"/>
      <name val="Arial"/>
      <family val="2"/>
    </font>
    <font>
      <sz val="8"/>
      <name val="Arial"/>
      <family val="2"/>
    </font>
  </fonts>
  <fills count="13">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rgb="FF92D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CC"/>
        <bgColor rgb="FF000000"/>
      </patternFill>
    </fill>
    <fill>
      <patternFill patternType="solid">
        <fgColor rgb="FFFCD5B4"/>
        <bgColor rgb="FF000000"/>
      </patternFill>
    </fill>
    <fill>
      <patternFill patternType="solid">
        <fgColor theme="0" tint="-4.9989318521683403E-2"/>
        <bgColor rgb="FFFFFF00"/>
      </patternFill>
    </fill>
    <fill>
      <patternFill patternType="solid">
        <fgColor theme="9" tint="0.79998168889431442"/>
        <bgColor indexed="64"/>
      </patternFill>
    </fill>
    <fill>
      <patternFill patternType="solid">
        <fgColor rgb="FF335593"/>
      </patternFill>
    </fill>
    <fill>
      <patternFill patternType="solid">
        <fgColor rgb="FFFDE9D9"/>
        <bgColor rgb="FF000000"/>
      </patternFill>
    </fill>
  </fills>
  <borders count="2">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2">
    <xf numFmtId="0" fontId="0" fillId="0" borderId="0"/>
    <xf numFmtId="9" fontId="5" fillId="0" borderId="0" applyFont="0" applyFill="0" applyBorder="0" applyAlignment="0" applyProtection="0"/>
  </cellStyleXfs>
  <cellXfs count="65">
    <xf numFmtId="0" fontId="0" fillId="0" borderId="0" xfId="0"/>
    <xf numFmtId="0" fontId="1" fillId="0" borderId="0" xfId="0" applyFont="1"/>
    <xf numFmtId="15" fontId="1" fillId="0" borderId="0" xfId="0" applyNumberFormat="1" applyFont="1"/>
    <xf numFmtId="0" fontId="3" fillId="0" borderId="0" xfId="0" applyFont="1"/>
    <xf numFmtId="0" fontId="1" fillId="4" borderId="0" xfId="0" applyFont="1" applyFill="1" applyAlignment="1">
      <alignment horizontal="right" vertical="center"/>
    </xf>
    <xf numFmtId="0" fontId="1" fillId="0" borderId="0" xfId="0" applyFont="1" applyAlignment="1">
      <alignment horizontal="left" vertical="top"/>
    </xf>
    <xf numFmtId="0" fontId="8" fillId="0" borderId="0" xfId="0" applyFont="1"/>
    <xf numFmtId="0" fontId="1" fillId="3" borderId="1" xfId="0" applyFont="1" applyFill="1" applyBorder="1"/>
    <xf numFmtId="0" fontId="1" fillId="0" borderId="1" xfId="0" applyFont="1" applyBorder="1" applyAlignment="1">
      <alignment horizontal="left" vertical="top"/>
    </xf>
    <xf numFmtId="0" fontId="1" fillId="0" borderId="1" xfId="0" applyFont="1" applyBorder="1" applyAlignment="1">
      <alignment horizontal="center" vertical="center" wrapText="1"/>
    </xf>
    <xf numFmtId="0" fontId="1" fillId="0" borderId="1" xfId="0" applyFont="1" applyBorder="1" applyAlignment="1">
      <alignment vertical="top" wrapText="1"/>
    </xf>
    <xf numFmtId="0" fontId="1" fillId="2" borderId="1" xfId="0" applyFont="1" applyFill="1" applyBorder="1"/>
    <xf numFmtId="15" fontId="7" fillId="0" borderId="0" xfId="0" applyNumberFormat="1" applyFont="1"/>
    <xf numFmtId="0" fontId="1" fillId="5" borderId="0" xfId="0" applyFont="1" applyFill="1" applyAlignment="1">
      <alignment horizontal="left" vertical="center"/>
    </xf>
    <xf numFmtId="0" fontId="1" fillId="6" borderId="0" xfId="0" applyFont="1" applyFill="1" applyAlignment="1">
      <alignment horizontal="left" wrapText="1"/>
    </xf>
    <xf numFmtId="0" fontId="1" fillId="5" borderId="0" xfId="0" applyFont="1" applyFill="1" applyAlignment="1">
      <alignment horizontal="left" wrapText="1"/>
    </xf>
    <xf numFmtId="0" fontId="1" fillId="6" borderId="0" xfId="0" applyFont="1" applyFill="1" applyAlignment="1">
      <alignment horizontal="left" vertical="center"/>
    </xf>
    <xf numFmtId="15" fontId="3" fillId="0" borderId="0" xfId="0" applyNumberFormat="1" applyFont="1"/>
    <xf numFmtId="0" fontId="6" fillId="8" borderId="0" xfId="0" applyFont="1" applyFill="1" applyAlignment="1">
      <alignment horizontal="left" vertical="center" wrapText="1"/>
    </xf>
    <xf numFmtId="15" fontId="9" fillId="0" borderId="0" xfId="0" applyNumberFormat="1" applyFont="1"/>
    <xf numFmtId="0" fontId="1" fillId="4" borderId="0" xfId="0" applyFont="1" applyFill="1" applyAlignment="1">
      <alignment horizontal="center" vertical="center"/>
    </xf>
    <xf numFmtId="0" fontId="2" fillId="9" borderId="1" xfId="0" applyFont="1" applyFill="1" applyBorder="1" applyAlignment="1">
      <alignment vertical="top" wrapText="1"/>
    </xf>
    <xf numFmtId="0" fontId="1" fillId="2" borderId="1" xfId="0" applyFont="1" applyFill="1" applyBorder="1" applyAlignment="1">
      <alignment horizontal="left" vertical="top"/>
    </xf>
    <xf numFmtId="9" fontId="10" fillId="2" borderId="1" xfId="1" applyFont="1" applyFill="1" applyBorder="1"/>
    <xf numFmtId="0" fontId="1" fillId="2" borderId="1" xfId="0" applyFont="1" applyFill="1" applyBorder="1" applyAlignment="1">
      <alignment vertical="top"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left" vertical="top"/>
    </xf>
    <xf numFmtId="9" fontId="7" fillId="0" borderId="1" xfId="0" applyNumberFormat="1" applyFont="1" applyBorder="1" applyAlignment="1">
      <alignment horizontal="center" vertical="center"/>
    </xf>
    <xf numFmtId="0" fontId="2" fillId="10" borderId="1" xfId="0" applyFont="1" applyFill="1" applyBorder="1"/>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alignment horizontal="center" vertical="center"/>
    </xf>
    <xf numFmtId="9" fontId="1" fillId="2" borderId="1" xfId="0" applyNumberFormat="1" applyFont="1" applyFill="1" applyBorder="1" applyAlignment="1">
      <alignment horizontal="center" vertical="center"/>
    </xf>
    <xf numFmtId="0" fontId="7" fillId="0" borderId="1" xfId="0" applyFont="1" applyBorder="1" applyAlignment="1">
      <alignment horizontal="left" vertical="top"/>
    </xf>
    <xf numFmtId="0" fontId="11" fillId="0" borderId="1" xfId="0" applyFont="1" applyBorder="1" applyAlignment="1">
      <alignment vertical="top" wrapText="1"/>
    </xf>
    <xf numFmtId="0" fontId="1" fillId="0" borderId="1" xfId="0" applyFont="1" applyBorder="1" applyAlignment="1">
      <alignment horizontal="left" vertical="top" wrapText="1"/>
    </xf>
    <xf numFmtId="15" fontId="1" fillId="0" borderId="1" xfId="0" applyNumberFormat="1" applyFont="1" applyBorder="1" applyAlignment="1">
      <alignment vertical="center" wrapText="1"/>
    </xf>
    <xf numFmtId="15" fontId="7" fillId="0" borderId="1" xfId="0" applyNumberFormat="1" applyFont="1" applyBorder="1" applyAlignment="1">
      <alignment vertical="center" wrapText="1"/>
    </xf>
    <xf numFmtId="15" fontId="13" fillId="0" borderId="1" xfId="0" applyNumberFormat="1" applyFont="1" applyBorder="1" applyAlignment="1">
      <alignment vertical="center" wrapText="1"/>
    </xf>
    <xf numFmtId="15" fontId="14" fillId="0" borderId="1" xfId="0" applyNumberFormat="1" applyFont="1" applyBorder="1" applyAlignment="1">
      <alignment vertical="center" wrapText="1"/>
    </xf>
    <xf numFmtId="17" fontId="1" fillId="0" borderId="1" xfId="0" applyNumberFormat="1" applyFont="1" applyBorder="1" applyAlignment="1">
      <alignment horizontal="left" vertical="center" wrapText="1"/>
    </xf>
    <xf numFmtId="164" fontId="1" fillId="0" borderId="1" xfId="0" applyNumberFormat="1" applyFont="1" applyBorder="1" applyAlignment="1">
      <alignment horizontal="left" vertical="center" wrapText="1"/>
    </xf>
    <xf numFmtId="0" fontId="12" fillId="11" borderId="1" xfId="0" applyFont="1" applyFill="1" applyBorder="1" applyAlignment="1">
      <alignment vertical="center" wrapText="1"/>
    </xf>
    <xf numFmtId="0" fontId="7" fillId="0" borderId="1" xfId="0" applyFont="1" applyBorder="1" applyAlignment="1">
      <alignment vertical="top" wrapText="1"/>
    </xf>
    <xf numFmtId="0" fontId="3" fillId="0" borderId="1" xfId="0" applyFont="1" applyBorder="1" applyAlignment="1">
      <alignment vertical="top" wrapText="1"/>
    </xf>
    <xf numFmtId="0" fontId="1" fillId="0" borderId="0" xfId="0" applyFont="1" applyAlignment="1">
      <alignment wrapText="1"/>
    </xf>
    <xf numFmtId="9" fontId="1" fillId="0" borderId="1" xfId="0" applyNumberFormat="1" applyFont="1" applyBorder="1" applyAlignment="1">
      <alignment horizontal="center" vertical="center" wrapText="1"/>
    </xf>
    <xf numFmtId="0" fontId="6" fillId="7" borderId="0" xfId="0" applyFont="1" applyFill="1" applyAlignment="1">
      <alignment horizontal="left" wrapText="1"/>
    </xf>
    <xf numFmtId="0" fontId="6" fillId="7" borderId="0" xfId="0" applyFont="1" applyFill="1" applyAlignment="1">
      <alignment horizontal="left" vertical="center" wrapText="1"/>
    </xf>
    <xf numFmtId="0" fontId="6" fillId="8" borderId="0" xfId="0" applyFont="1" applyFill="1" applyAlignment="1">
      <alignment horizontal="left" wrapText="1"/>
    </xf>
    <xf numFmtId="0" fontId="7" fillId="0" borderId="0" xfId="0" applyFont="1" applyAlignment="1">
      <alignment vertical="center"/>
    </xf>
    <xf numFmtId="0" fontId="6" fillId="12" borderId="0" xfId="0" applyFont="1" applyFill="1" applyAlignment="1">
      <alignment vertical="center"/>
    </xf>
    <xf numFmtId="17" fontId="1" fillId="2" borderId="1" xfId="0" applyNumberFormat="1" applyFont="1" applyFill="1" applyBorder="1" applyAlignment="1">
      <alignment horizontal="left" vertical="center" wrapText="1"/>
    </xf>
    <xf numFmtId="15" fontId="14" fillId="2" borderId="1" xfId="0" applyNumberFormat="1" applyFont="1" applyFill="1" applyBorder="1" applyAlignment="1">
      <alignment vertical="center" wrapText="1"/>
    </xf>
    <xf numFmtId="17" fontId="1" fillId="0" borderId="1" xfId="0" applyNumberFormat="1" applyFont="1" applyBorder="1" applyAlignment="1">
      <alignment horizontal="left" vertical="center" wrapText="1" indent="1"/>
    </xf>
    <xf numFmtId="17" fontId="1" fillId="10" borderId="1" xfId="0" applyNumberFormat="1" applyFont="1" applyFill="1" applyBorder="1" applyAlignment="1">
      <alignment horizontal="left" vertical="center" wrapText="1"/>
    </xf>
    <xf numFmtId="17" fontId="7" fillId="0" borderId="1" xfId="0" applyNumberFormat="1" applyFont="1" applyBorder="1" applyAlignment="1">
      <alignment horizontal="left" vertical="center" wrapText="1"/>
    </xf>
    <xf numFmtId="164" fontId="1" fillId="10" borderId="1" xfId="0" applyNumberFormat="1" applyFont="1" applyFill="1" applyBorder="1" applyAlignment="1">
      <alignment horizontal="left" vertical="center" wrapText="1"/>
    </xf>
    <xf numFmtId="0" fontId="1" fillId="2" borderId="0" xfId="0" applyFont="1" applyFill="1" applyAlignment="1">
      <alignment horizontal="left" vertical="center" wrapText="1"/>
    </xf>
    <xf numFmtId="9" fontId="1" fillId="0" borderId="1" xfId="0" applyNumberFormat="1" applyFont="1" applyBorder="1" applyAlignment="1">
      <alignment horizontal="center" vertical="center"/>
    </xf>
    <xf numFmtId="0" fontId="1" fillId="2" borderId="0" xfId="0" applyFont="1" applyFill="1"/>
    <xf numFmtId="9" fontId="3" fillId="0" borderId="1" xfId="0" applyNumberFormat="1" applyFont="1" applyBorder="1" applyAlignment="1">
      <alignment horizontal="center" vertical="center"/>
    </xf>
    <xf numFmtId="17" fontId="14" fillId="0" borderId="1" xfId="0" applyNumberFormat="1" applyFont="1" applyBorder="1" applyAlignment="1">
      <alignment horizontal="left" vertical="center" wrapText="1"/>
    </xf>
  </cellXfs>
  <cellStyles count="2">
    <cellStyle name="Normal" xfId="0" builtinId="0"/>
    <cellStyle name="Percent" xfId="1" builtinId="5"/>
  </cellStyles>
  <dxfs count="24">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s>
  <tableStyles count="6" defaultTableStyle="TableStyleMedium9" defaultPivotStyle="PivotStyleLight16">
    <tableStyle name="Data-Setting-style" pivot="0" count="3" xr9:uid="{4B45045E-69E0-4519-98F5-E409C16A6FC7}">
      <tableStyleElement type="headerRow" dxfId="23"/>
      <tableStyleElement type="firstRowStripe" dxfId="22"/>
      <tableStyleElement type="secondRowStripe" dxfId="21"/>
    </tableStyle>
    <tableStyle name="Data-Setting-style 2" pivot="0" count="3" xr9:uid="{F12F8E63-734F-49D8-85F7-79F1FD57249B}">
      <tableStyleElement type="headerRow" dxfId="20"/>
      <tableStyleElement type="firstRowStripe" dxfId="19"/>
      <tableStyleElement type="secondRowStripe" dxfId="18"/>
    </tableStyle>
    <tableStyle name="Data-Setting-style 2 2" pivot="0" count="3" xr9:uid="{79E30646-064A-4E6E-8C9F-57538C0B5892}">
      <tableStyleElement type="headerRow" dxfId="17"/>
      <tableStyleElement type="firstRowStripe" dxfId="16"/>
      <tableStyleElement type="secondRowStripe" dxfId="15"/>
    </tableStyle>
    <tableStyle name="Data-Setting-style 3" pivot="0" count="3" xr9:uid="{748AF462-EF03-40A7-AD83-8E24EFF3BFE6}">
      <tableStyleElement type="headerRow" dxfId="14"/>
      <tableStyleElement type="firstRowStripe" dxfId="13"/>
      <tableStyleElement type="secondRowStripe" dxfId="12"/>
    </tableStyle>
    <tableStyle name="RAWDATA-TS-style" pivot="0" count="3" xr9:uid="{2BC226EA-1B29-412A-A5BA-A90EEF355ED0}">
      <tableStyleElement type="headerRow" dxfId="11"/>
      <tableStyleElement type="firstRowStripe" dxfId="10"/>
      <tableStyleElement type="secondRowStripe" dxfId="9"/>
    </tableStyle>
    <tableStyle name="RAWDATA-TS-style 2" pivot="0" count="3" xr9:uid="{3DB890DF-76BD-40EB-A90C-3ADC90244373}">
      <tableStyleElement type="headerRow" dxfId="8"/>
      <tableStyleElement type="firstRowStripe" dxfId="7"/>
      <tableStyleElement type="secondRowStripe" dxfId="6"/>
    </tableStyle>
  </tableStyles>
  <colors>
    <mruColors>
      <color rgb="FF0000FF"/>
      <color rgb="FFFFFFCC"/>
      <color rgb="FF0099CC"/>
      <color rgb="FF9933FF"/>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1drv.ms/w/c/e54d77a9688661eb/IQA_KvfTB94kRooViTpbHG5ZAUAsGSsDqWKU6Ph60LyEEYs?e=Ygw1h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B4493-5FDE-4CB8-9ABC-306D6CE8ECE3}">
  <sheetPr>
    <tabColor rgb="FF00B050"/>
  </sheetPr>
  <dimension ref="A1:R195"/>
  <sheetViews>
    <sheetView tabSelected="1" zoomScale="115" zoomScaleNormal="115" workbookViewId="0">
      <pane xSplit="4" ySplit="9" topLeftCell="E169" activePane="bottomRight" state="frozen"/>
      <selection pane="topRight" activeCell="E1" sqref="E1"/>
      <selection pane="bottomLeft" activeCell="A10" sqref="A10"/>
      <selection pane="bottomRight" activeCell="P8" sqref="P8"/>
    </sheetView>
  </sheetViews>
  <sheetFormatPr defaultColWidth="12.54296875" defaultRowHeight="10" x14ac:dyDescent="0.2"/>
  <cols>
    <col min="1" max="1" width="3.1796875" style="1" customWidth="1"/>
    <col min="2" max="2" width="8.54296875" style="1" customWidth="1"/>
    <col min="3" max="3" width="26.1796875" style="1" customWidth="1"/>
    <col min="4" max="4" width="15.81640625" style="1" customWidth="1"/>
    <col min="5" max="13" width="8.54296875" style="1" customWidth="1"/>
    <col min="14" max="14" width="16.1796875" style="1" customWidth="1"/>
    <col min="15" max="15" width="14.453125" style="1" customWidth="1"/>
    <col min="16" max="16" width="12.1796875" style="1" customWidth="1"/>
    <col min="17" max="18" width="8.54296875" style="1" customWidth="1"/>
    <col min="19" max="16384" width="12.54296875" style="1"/>
  </cols>
  <sheetData>
    <row r="1" spans="1:18" ht="40" x14ac:dyDescent="0.4">
      <c r="B1" s="6" t="s">
        <v>0</v>
      </c>
      <c r="J1" s="52" t="s">
        <v>1</v>
      </c>
      <c r="K1" s="47"/>
      <c r="L1" s="60" t="s">
        <v>2</v>
      </c>
      <c r="M1" s="60" t="s">
        <v>3</v>
      </c>
      <c r="N1" s="60" t="s">
        <v>4</v>
      </c>
      <c r="O1" s="60" t="s">
        <v>5</v>
      </c>
      <c r="P1" s="50" t="s">
        <v>6</v>
      </c>
      <c r="Q1" s="53" t="s">
        <v>7</v>
      </c>
    </row>
    <row r="2" spans="1:18" x14ac:dyDescent="0.2">
      <c r="B2" s="1" t="s">
        <v>8</v>
      </c>
      <c r="P2" s="20" t="s">
        <v>9</v>
      </c>
    </row>
    <row r="3" spans="1:18" x14ac:dyDescent="0.2">
      <c r="E3" s="16" t="s">
        <v>10</v>
      </c>
      <c r="F3" s="14"/>
      <c r="G3" s="13" t="s">
        <v>11</v>
      </c>
      <c r="H3" s="15"/>
      <c r="I3" s="15"/>
      <c r="J3" s="15"/>
      <c r="K3" s="15"/>
      <c r="L3" s="15"/>
      <c r="M3" s="15"/>
      <c r="N3" s="15"/>
      <c r="O3" s="15"/>
      <c r="P3" s="49"/>
      <c r="Q3" s="51"/>
      <c r="R3" s="18" t="s">
        <v>12</v>
      </c>
    </row>
    <row r="4" spans="1:18" x14ac:dyDescent="0.2">
      <c r="E4" s="12">
        <v>45971</v>
      </c>
      <c r="F4" s="2">
        <f xml:space="preserve"> E4+(7-WEEKDAY(E4,3))</f>
        <v>45978</v>
      </c>
      <c r="G4" s="2">
        <f xml:space="preserve"> F4+(7-WEEKDAY(F4,3))</f>
        <v>45985</v>
      </c>
      <c r="H4" s="2">
        <f t="shared" ref="H4" si="0" xml:space="preserve"> G4+(7-WEEKDAY(G4,3))</f>
        <v>45992</v>
      </c>
      <c r="I4" s="2">
        <f t="shared" ref="I4" si="1" xml:space="preserve"> H4+(7-WEEKDAY(H4,3))</f>
        <v>45999</v>
      </c>
      <c r="J4" s="2">
        <f t="shared" ref="J4" si="2" xml:space="preserve"> I4+(7-WEEKDAY(I4,3))</f>
        <v>46006</v>
      </c>
      <c r="K4" s="2">
        <f t="shared" ref="K4" si="3" xml:space="preserve"> J4+(7-WEEKDAY(J4,3))</f>
        <v>46013</v>
      </c>
      <c r="L4" s="2">
        <f t="shared" ref="L4" si="4" xml:space="preserve"> K4+(7-WEEKDAY(K4,3))</f>
        <v>46020</v>
      </c>
      <c r="M4" s="2">
        <f t="shared" ref="M4" si="5" xml:space="preserve"> L4+(7-WEEKDAY(L4,3))</f>
        <v>46027</v>
      </c>
      <c r="N4" s="2">
        <f t="shared" ref="N4" si="6" xml:space="preserve"> M4+(7-WEEKDAY(M4,3))</f>
        <v>46034</v>
      </c>
      <c r="O4" s="2">
        <f t="shared" ref="O4" si="7" xml:space="preserve"> N4+(7-WEEKDAY(N4,3))</f>
        <v>46041</v>
      </c>
      <c r="P4" s="2">
        <f t="shared" ref="P4:R4" si="8" xml:space="preserve"> O4+(7-WEEKDAY(O4,3))</f>
        <v>46048</v>
      </c>
      <c r="Q4" s="2">
        <f t="shared" si="8"/>
        <v>46055</v>
      </c>
      <c r="R4" s="2">
        <f t="shared" si="8"/>
        <v>46062</v>
      </c>
    </row>
    <row r="5" spans="1:18" ht="10" customHeight="1" x14ac:dyDescent="0.25">
      <c r="E5" s="2">
        <f t="shared" ref="E5" si="9" xml:space="preserve"> E4+(6-WEEKDAY(E4,3))</f>
        <v>45977</v>
      </c>
      <c r="F5" s="2">
        <f xml:space="preserve"> F4+(6-WEEKDAY(F4,3))</f>
        <v>45984</v>
      </c>
      <c r="G5" s="2">
        <f xml:space="preserve"> G4+(6-WEEKDAY(G4,3))</f>
        <v>45991</v>
      </c>
      <c r="H5" s="2">
        <f t="shared" ref="H5:O5" si="10" xml:space="preserve"> H4+(6-WEEKDAY(H4,3))</f>
        <v>45998</v>
      </c>
      <c r="I5" s="2">
        <f t="shared" si="10"/>
        <v>46005</v>
      </c>
      <c r="J5" s="2">
        <f t="shared" si="10"/>
        <v>46012</v>
      </c>
      <c r="K5" s="2">
        <f t="shared" si="10"/>
        <v>46019</v>
      </c>
      <c r="L5" s="2">
        <f t="shared" si="10"/>
        <v>46026</v>
      </c>
      <c r="M5" s="2">
        <f t="shared" si="10"/>
        <v>46033</v>
      </c>
      <c r="N5" s="2">
        <f t="shared" si="10"/>
        <v>46040</v>
      </c>
      <c r="O5" s="2">
        <f t="shared" si="10"/>
        <v>46047</v>
      </c>
      <c r="P5" s="2">
        <f t="shared" ref="P5:Q5" si="11" xml:space="preserve"> P4+(6-WEEKDAY(P4,3))</f>
        <v>46054</v>
      </c>
      <c r="Q5" s="17">
        <f t="shared" si="11"/>
        <v>46061</v>
      </c>
      <c r="R5" s="19">
        <f xml:space="preserve"> R4+(3-WEEKDAY(R4,3))</f>
        <v>46065</v>
      </c>
    </row>
    <row r="6" spans="1:18" x14ac:dyDescent="0.2">
      <c r="E6" s="7" t="s">
        <v>13</v>
      </c>
      <c r="F6" s="7" t="s">
        <v>14</v>
      </c>
      <c r="G6" s="7" t="s">
        <v>15</v>
      </c>
      <c r="H6" s="7" t="s">
        <v>16</v>
      </c>
      <c r="I6" s="7" t="s">
        <v>17</v>
      </c>
      <c r="J6" s="7" t="s">
        <v>18</v>
      </c>
      <c r="K6" s="7" t="s">
        <v>19</v>
      </c>
      <c r="L6" s="7" t="s">
        <v>20</v>
      </c>
      <c r="M6" s="7" t="s">
        <v>21</v>
      </c>
      <c r="N6" s="7" t="s">
        <v>22</v>
      </c>
      <c r="O6" s="7" t="s">
        <v>23</v>
      </c>
      <c r="P6" s="7" t="s">
        <v>24</v>
      </c>
      <c r="Q6" s="7" t="s">
        <v>25</v>
      </c>
      <c r="R6" s="7" t="s">
        <v>26</v>
      </c>
    </row>
    <row r="7" spans="1:18" ht="10.5" x14ac:dyDescent="0.25">
      <c r="D7" s="4" t="s">
        <v>27</v>
      </c>
      <c r="E7" s="23">
        <v>0</v>
      </c>
      <c r="F7" s="23">
        <v>0.02</v>
      </c>
      <c r="G7" s="23" t="s">
        <v>28</v>
      </c>
      <c r="H7" s="23" t="s">
        <v>29</v>
      </c>
      <c r="I7" s="23" t="s">
        <v>30</v>
      </c>
      <c r="J7" s="23" t="s">
        <v>31</v>
      </c>
      <c r="K7" s="23" t="s">
        <v>32</v>
      </c>
      <c r="L7" s="23" t="s">
        <v>33</v>
      </c>
      <c r="M7" s="23" t="s">
        <v>34</v>
      </c>
      <c r="N7" s="23" t="s">
        <v>35</v>
      </c>
      <c r="O7" s="23" t="s">
        <v>36</v>
      </c>
      <c r="P7" s="23" t="s">
        <v>276</v>
      </c>
      <c r="Q7" s="23"/>
      <c r="R7" s="23"/>
    </row>
    <row r="8" spans="1:18" ht="15" customHeight="1" x14ac:dyDescent="0.2">
      <c r="E8" s="3"/>
      <c r="F8" s="3"/>
      <c r="G8" s="3"/>
      <c r="H8" s="3"/>
      <c r="I8" s="3"/>
      <c r="J8" s="3"/>
      <c r="K8" s="3"/>
      <c r="L8" s="3"/>
      <c r="M8" s="3"/>
    </row>
    <row r="9" spans="1:18" ht="10.5" x14ac:dyDescent="0.25">
      <c r="A9" s="28" t="s">
        <v>37</v>
      </c>
      <c r="B9" s="28" t="s">
        <v>38</v>
      </c>
      <c r="C9" s="28" t="s">
        <v>39</v>
      </c>
      <c r="D9" s="28"/>
      <c r="E9" s="28"/>
      <c r="F9" s="28"/>
      <c r="G9" s="28"/>
      <c r="H9" s="28"/>
      <c r="I9" s="28"/>
      <c r="J9" s="28"/>
      <c r="K9" s="28"/>
      <c r="L9" s="28"/>
      <c r="M9" s="28"/>
      <c r="N9" s="28"/>
      <c r="O9" s="28"/>
      <c r="P9" s="28"/>
      <c r="Q9" s="28"/>
      <c r="R9" s="28"/>
    </row>
    <row r="10" spans="1:18" s="5" customFormat="1" ht="10.5" x14ac:dyDescent="0.35">
      <c r="A10" s="22"/>
      <c r="B10" s="26" t="s">
        <v>40</v>
      </c>
      <c r="C10" s="21"/>
      <c r="D10" s="21" t="s">
        <v>41</v>
      </c>
      <c r="E10" s="29"/>
      <c r="F10" s="29"/>
      <c r="G10" s="29"/>
      <c r="H10" s="29"/>
      <c r="I10" s="30"/>
      <c r="J10" s="29"/>
      <c r="K10" s="29"/>
      <c r="L10" s="29"/>
      <c r="M10" s="29"/>
      <c r="N10" s="29"/>
      <c r="O10" s="29"/>
      <c r="P10" s="29"/>
      <c r="Q10" s="29"/>
      <c r="R10" s="29"/>
    </row>
    <row r="11" spans="1:18" s="5" customFormat="1" ht="20" x14ac:dyDescent="0.35">
      <c r="A11" s="8">
        <v>1</v>
      </c>
      <c r="B11" s="8"/>
      <c r="C11" s="10" t="s">
        <v>42</v>
      </c>
      <c r="D11" s="10"/>
      <c r="E11" s="34">
        <v>0.5</v>
      </c>
      <c r="F11" s="34">
        <v>1</v>
      </c>
      <c r="G11" s="31"/>
      <c r="H11" s="31"/>
      <c r="I11" s="9"/>
      <c r="J11" s="31"/>
      <c r="K11" s="31"/>
      <c r="L11" s="31"/>
      <c r="M11" s="31"/>
      <c r="N11" s="31"/>
      <c r="O11" s="32"/>
      <c r="P11" s="31"/>
      <c r="Q11" s="31"/>
      <c r="R11" s="31"/>
    </row>
    <row r="12" spans="1:18" s="5" customFormat="1" ht="20" x14ac:dyDescent="0.35">
      <c r="A12" s="8">
        <f>MAX($A$10:A11,0)+1</f>
        <v>2</v>
      </c>
      <c r="B12" s="8"/>
      <c r="C12" s="10" t="s">
        <v>43</v>
      </c>
      <c r="D12" s="10"/>
      <c r="E12" s="34">
        <v>0.5</v>
      </c>
      <c r="F12" s="34">
        <v>1</v>
      </c>
      <c r="G12" s="31"/>
      <c r="H12" s="31"/>
      <c r="I12" s="9"/>
      <c r="J12" s="31"/>
      <c r="K12" s="31"/>
      <c r="L12" s="31"/>
      <c r="M12" s="31"/>
      <c r="N12" s="31"/>
      <c r="O12" s="31"/>
      <c r="P12" s="31"/>
      <c r="Q12" s="31"/>
      <c r="R12" s="31"/>
    </row>
    <row r="13" spans="1:18" s="5" customFormat="1" x14ac:dyDescent="0.35">
      <c r="A13" s="8">
        <f>MAX($A$10:A12,0)+1</f>
        <v>3</v>
      </c>
      <c r="B13" s="8"/>
      <c r="C13" s="10" t="s">
        <v>44</v>
      </c>
      <c r="D13" s="10"/>
      <c r="E13" s="34">
        <v>0.05</v>
      </c>
      <c r="F13" s="34">
        <v>0.2</v>
      </c>
      <c r="G13" s="34">
        <v>0.3</v>
      </c>
      <c r="H13" s="34">
        <v>0.4</v>
      </c>
      <c r="I13" s="34">
        <v>0.5</v>
      </c>
      <c r="J13" s="34">
        <v>0.6</v>
      </c>
      <c r="K13" s="34">
        <v>0.7</v>
      </c>
      <c r="L13" s="34">
        <v>0.8</v>
      </c>
      <c r="M13" s="34">
        <v>0.9</v>
      </c>
      <c r="N13" s="34">
        <v>1</v>
      </c>
      <c r="O13" s="31"/>
      <c r="P13" s="31"/>
      <c r="Q13" s="31"/>
      <c r="R13" s="31"/>
    </row>
    <row r="14" spans="1:18" s="5" customFormat="1" ht="10.5" x14ac:dyDescent="0.35">
      <c r="A14" s="22"/>
      <c r="B14" s="26" t="s">
        <v>45</v>
      </c>
      <c r="C14" s="24"/>
      <c r="D14" s="24"/>
      <c r="E14" s="29"/>
      <c r="F14" s="29"/>
      <c r="G14" s="29"/>
      <c r="H14" s="29"/>
      <c r="I14" s="25"/>
      <c r="J14" s="29"/>
      <c r="K14" s="29"/>
      <c r="L14" s="29"/>
      <c r="M14" s="29"/>
      <c r="N14" s="29"/>
      <c r="O14" s="29"/>
      <c r="P14" s="29"/>
      <c r="Q14" s="29"/>
      <c r="R14" s="29"/>
    </row>
    <row r="15" spans="1:18" s="5" customFormat="1" ht="20" x14ac:dyDescent="0.35">
      <c r="A15" s="8">
        <f>MAX($A$10:A14,0)+1</f>
        <v>4</v>
      </c>
      <c r="B15" s="8"/>
      <c r="C15" s="10" t="s">
        <v>46</v>
      </c>
      <c r="D15" s="10"/>
      <c r="E15" s="31"/>
      <c r="F15" s="31"/>
      <c r="G15" s="34">
        <v>0.7</v>
      </c>
      <c r="H15" s="34">
        <v>0.8</v>
      </c>
      <c r="I15" s="34">
        <v>1</v>
      </c>
      <c r="J15" s="31"/>
      <c r="K15" s="31"/>
      <c r="L15" s="31"/>
      <c r="M15" s="31"/>
      <c r="N15" s="31"/>
      <c r="O15" s="31"/>
      <c r="P15" s="31"/>
      <c r="Q15" s="31"/>
      <c r="R15" s="31"/>
    </row>
    <row r="16" spans="1:18" s="5" customFormat="1" x14ac:dyDescent="0.35">
      <c r="A16" s="8">
        <f>MAX($A$10:A15,0)+1</f>
        <v>5</v>
      </c>
      <c r="B16" s="8"/>
      <c r="C16" s="10" t="s">
        <v>47</v>
      </c>
      <c r="D16" s="10"/>
      <c r="E16" s="31"/>
      <c r="F16" s="31"/>
      <c r="G16" s="31"/>
      <c r="H16" s="31"/>
      <c r="I16" s="31"/>
      <c r="J16" s="31"/>
      <c r="K16" s="34">
        <v>0.5</v>
      </c>
      <c r="L16" s="34">
        <v>0.7</v>
      </c>
      <c r="M16" s="34">
        <v>0.8</v>
      </c>
      <c r="N16" s="34">
        <v>0.9</v>
      </c>
      <c r="O16" s="34">
        <v>1</v>
      </c>
      <c r="P16" s="31"/>
      <c r="Q16" s="31"/>
      <c r="R16" s="31"/>
    </row>
    <row r="17" spans="1:18" s="5" customFormat="1" ht="20" x14ac:dyDescent="0.35">
      <c r="A17" s="8">
        <f>MAX($A$10:A16,0)+1</f>
        <v>6</v>
      </c>
      <c r="B17" s="8"/>
      <c r="C17" s="10" t="s">
        <v>48</v>
      </c>
      <c r="D17" s="10"/>
      <c r="E17" s="31"/>
      <c r="F17" s="31"/>
      <c r="G17" s="31"/>
      <c r="H17" s="31"/>
      <c r="I17" s="34">
        <v>0.3</v>
      </c>
      <c r="J17" s="34">
        <v>0.5</v>
      </c>
      <c r="K17" s="34">
        <v>0.7</v>
      </c>
      <c r="L17" s="34">
        <v>0.8</v>
      </c>
      <c r="M17" s="34">
        <v>0.9</v>
      </c>
      <c r="N17" s="34">
        <v>0.9</v>
      </c>
      <c r="O17" s="34">
        <v>1</v>
      </c>
      <c r="P17" s="31"/>
      <c r="Q17" s="31"/>
      <c r="R17" s="31"/>
    </row>
    <row r="18" spans="1:18" s="5" customFormat="1" x14ac:dyDescent="0.35">
      <c r="A18" s="8">
        <f>MAX($A$10:A17,0)+1</f>
        <v>7</v>
      </c>
      <c r="B18" s="8"/>
      <c r="C18" s="10" t="s">
        <v>49</v>
      </c>
      <c r="D18" s="10"/>
      <c r="E18" s="31"/>
      <c r="F18" s="31"/>
      <c r="G18" s="31"/>
      <c r="H18" s="31"/>
      <c r="I18" s="9"/>
      <c r="J18" s="9"/>
      <c r="K18" s="34">
        <v>0.5</v>
      </c>
      <c r="L18" s="34">
        <v>0.7</v>
      </c>
      <c r="M18" s="34">
        <v>0.8</v>
      </c>
      <c r="N18" s="34">
        <v>0.9</v>
      </c>
      <c r="O18" s="34">
        <v>1</v>
      </c>
      <c r="P18" s="31"/>
      <c r="Q18" s="31"/>
      <c r="R18" s="31"/>
    </row>
    <row r="19" spans="1:18" s="5" customFormat="1" ht="10.5" x14ac:dyDescent="0.35">
      <c r="A19" s="22"/>
      <c r="B19" s="26" t="s">
        <v>50</v>
      </c>
      <c r="C19" s="24"/>
      <c r="D19" s="24"/>
      <c r="E19" s="29"/>
      <c r="F19" s="29"/>
      <c r="G19" s="29"/>
      <c r="H19" s="29"/>
      <c r="I19" s="25"/>
      <c r="J19" s="29"/>
      <c r="K19" s="29"/>
      <c r="L19" s="29"/>
      <c r="M19" s="29"/>
      <c r="N19" s="29"/>
      <c r="O19" s="29"/>
      <c r="P19" s="29"/>
      <c r="Q19" s="29"/>
      <c r="R19" s="29"/>
    </row>
    <row r="20" spans="1:18" s="5" customFormat="1" ht="20" x14ac:dyDescent="0.35">
      <c r="A20" s="8">
        <f>MAX($A$10:A19,0)+1</f>
        <v>8</v>
      </c>
      <c r="B20" s="8"/>
      <c r="C20" s="10" t="s">
        <v>51</v>
      </c>
      <c r="D20" s="45"/>
      <c r="E20" s="31"/>
      <c r="F20" s="31"/>
      <c r="G20" s="34">
        <v>0.7</v>
      </c>
      <c r="H20" s="34">
        <v>0.7</v>
      </c>
      <c r="I20" s="34">
        <v>0.6</v>
      </c>
      <c r="J20" s="34">
        <v>0.6</v>
      </c>
      <c r="K20" s="34">
        <v>0.7</v>
      </c>
      <c r="L20" s="34">
        <v>0.8</v>
      </c>
      <c r="M20" s="34">
        <v>0.9</v>
      </c>
      <c r="N20" s="34">
        <v>1</v>
      </c>
      <c r="O20" s="31"/>
      <c r="P20" s="31"/>
      <c r="Q20" s="31"/>
      <c r="R20" s="31"/>
    </row>
    <row r="21" spans="1:18" s="5" customFormat="1" ht="20" x14ac:dyDescent="0.35">
      <c r="A21" s="8">
        <f>MAX($A$10:A20,0)+1</f>
        <v>9</v>
      </c>
      <c r="B21" s="8"/>
      <c r="C21" s="10" t="s">
        <v>52</v>
      </c>
      <c r="D21" s="45"/>
      <c r="E21" s="31"/>
      <c r="F21" s="31"/>
      <c r="G21" s="27"/>
      <c r="H21" s="27"/>
      <c r="I21" s="34">
        <v>0.6</v>
      </c>
      <c r="J21" s="34">
        <v>0.6</v>
      </c>
      <c r="K21" s="34">
        <v>0.7</v>
      </c>
      <c r="L21" s="34">
        <v>0.8</v>
      </c>
      <c r="M21" s="34">
        <v>0.9</v>
      </c>
      <c r="N21" s="34">
        <v>1</v>
      </c>
      <c r="O21" s="31"/>
      <c r="P21" s="31"/>
      <c r="Q21" s="31"/>
      <c r="R21" s="31"/>
    </row>
    <row r="22" spans="1:18" s="5" customFormat="1" ht="20" x14ac:dyDescent="0.35">
      <c r="A22" s="8">
        <f>MAX($A$10:A21,0)+1</f>
        <v>10</v>
      </c>
      <c r="B22" s="8"/>
      <c r="C22" s="10" t="s">
        <v>53</v>
      </c>
      <c r="D22" s="45"/>
      <c r="E22" s="31"/>
      <c r="F22" s="31"/>
      <c r="G22" s="31"/>
      <c r="H22" s="34">
        <v>0.7</v>
      </c>
      <c r="I22" s="34">
        <v>0.6</v>
      </c>
      <c r="J22" s="34">
        <v>0.6</v>
      </c>
      <c r="K22" s="34">
        <v>0.7</v>
      </c>
      <c r="L22" s="34">
        <v>0.8</v>
      </c>
      <c r="M22" s="34">
        <v>0.9</v>
      </c>
      <c r="N22" s="34">
        <v>1</v>
      </c>
      <c r="O22" s="31"/>
      <c r="P22" s="31"/>
      <c r="Q22" s="31"/>
      <c r="R22" s="31"/>
    </row>
    <row r="23" spans="1:18" s="5" customFormat="1" ht="20" x14ac:dyDescent="0.35">
      <c r="A23" s="8">
        <f>MAX($A$10:A22,0)+1</f>
        <v>11</v>
      </c>
      <c r="B23" s="8"/>
      <c r="C23" s="10" t="s">
        <v>54</v>
      </c>
      <c r="D23" s="45"/>
      <c r="E23" s="31"/>
      <c r="F23" s="31"/>
      <c r="G23" s="34">
        <v>0.7</v>
      </c>
      <c r="H23" s="34">
        <v>0.8</v>
      </c>
      <c r="I23" s="34">
        <v>0.6</v>
      </c>
      <c r="J23" s="34">
        <v>0.6</v>
      </c>
      <c r="K23" s="34">
        <v>0.7</v>
      </c>
      <c r="L23" s="34">
        <v>0.8</v>
      </c>
      <c r="M23" s="34">
        <v>0.9</v>
      </c>
      <c r="N23" s="34">
        <v>1</v>
      </c>
      <c r="O23" s="31"/>
      <c r="P23" s="31"/>
      <c r="Q23" s="31"/>
      <c r="R23" s="31"/>
    </row>
    <row r="24" spans="1:18" s="5" customFormat="1" ht="20" x14ac:dyDescent="0.35">
      <c r="A24" s="8">
        <f>MAX($A$10:A23,0)+1</f>
        <v>12</v>
      </c>
      <c r="B24" s="8"/>
      <c r="C24" s="10" t="s">
        <v>55</v>
      </c>
      <c r="D24" s="46"/>
      <c r="E24" s="31"/>
      <c r="F24" s="31"/>
      <c r="G24" s="31"/>
      <c r="H24" s="34">
        <v>0.7</v>
      </c>
      <c r="I24" s="34">
        <v>0.6</v>
      </c>
      <c r="J24" s="34">
        <v>0.6</v>
      </c>
      <c r="K24" s="34">
        <v>0.7</v>
      </c>
      <c r="L24" s="34">
        <v>0.8</v>
      </c>
      <c r="M24" s="34">
        <v>0.9</v>
      </c>
      <c r="N24" s="34">
        <v>1</v>
      </c>
      <c r="O24" s="31"/>
      <c r="P24" s="31"/>
      <c r="Q24" s="31"/>
      <c r="R24" s="31"/>
    </row>
    <row r="25" spans="1:18" s="5" customFormat="1" ht="20" x14ac:dyDescent="0.35">
      <c r="A25" s="8">
        <f>MAX($A$10:A24,0)+1</f>
        <v>13</v>
      </c>
      <c r="B25" s="8"/>
      <c r="C25" s="10" t="s">
        <v>56</v>
      </c>
      <c r="D25" s="45"/>
      <c r="E25" s="31"/>
      <c r="F25" s="31"/>
      <c r="G25" s="31"/>
      <c r="H25" s="34">
        <v>0.7</v>
      </c>
      <c r="I25" s="34">
        <v>0.6</v>
      </c>
      <c r="J25" s="34">
        <v>0.6</v>
      </c>
      <c r="K25" s="34">
        <v>0.7</v>
      </c>
      <c r="L25" s="34">
        <v>0.8</v>
      </c>
      <c r="M25" s="34">
        <v>0.9</v>
      </c>
      <c r="N25" s="34">
        <v>1</v>
      </c>
      <c r="O25" s="31"/>
      <c r="P25" s="31"/>
      <c r="Q25" s="31"/>
      <c r="R25" s="31"/>
    </row>
    <row r="26" spans="1:18" s="5" customFormat="1" ht="20" x14ac:dyDescent="0.35">
      <c r="A26" s="8">
        <f>MAX($A$10:A25,0)+1</f>
        <v>14</v>
      </c>
      <c r="B26" s="8"/>
      <c r="C26" s="10" t="s">
        <v>57</v>
      </c>
      <c r="D26" s="45"/>
      <c r="E26" s="31"/>
      <c r="F26" s="31"/>
      <c r="G26" s="34">
        <v>0.7</v>
      </c>
      <c r="H26" s="34">
        <v>0.8</v>
      </c>
      <c r="I26" s="34">
        <v>0.6</v>
      </c>
      <c r="J26" s="34">
        <v>0.6</v>
      </c>
      <c r="K26" s="34">
        <v>0.7</v>
      </c>
      <c r="L26" s="34">
        <v>0.8</v>
      </c>
      <c r="M26" s="34">
        <v>0.9</v>
      </c>
      <c r="N26" s="34">
        <v>1</v>
      </c>
      <c r="O26" s="31"/>
      <c r="P26" s="31"/>
      <c r="Q26" s="31"/>
      <c r="R26" s="31"/>
    </row>
    <row r="27" spans="1:18" s="5" customFormat="1" ht="20" x14ac:dyDescent="0.35">
      <c r="A27" s="8">
        <f>MAX($A$10:A26,0)+1</f>
        <v>15</v>
      </c>
      <c r="B27" s="8"/>
      <c r="C27" s="10" t="s">
        <v>58</v>
      </c>
      <c r="D27" s="46"/>
      <c r="E27" s="31"/>
      <c r="F27" s="31"/>
      <c r="G27" s="31"/>
      <c r="H27" s="31"/>
      <c r="I27" s="34">
        <v>0.6</v>
      </c>
      <c r="J27" s="34">
        <v>0.6</v>
      </c>
      <c r="K27" s="34">
        <v>0.7</v>
      </c>
      <c r="L27" s="34">
        <v>0.8</v>
      </c>
      <c r="M27" s="34">
        <v>0.9</v>
      </c>
      <c r="N27" s="34">
        <v>1</v>
      </c>
      <c r="O27" s="31"/>
      <c r="P27" s="31"/>
      <c r="Q27" s="31"/>
      <c r="R27" s="31"/>
    </row>
    <row r="28" spans="1:18" s="5" customFormat="1" ht="20" x14ac:dyDescent="0.35">
      <c r="A28" s="8">
        <f>MAX($A$10:A27,0)+1</f>
        <v>16</v>
      </c>
      <c r="B28" s="8"/>
      <c r="C28" s="10" t="s">
        <v>59</v>
      </c>
      <c r="D28" s="45"/>
      <c r="E28" s="31"/>
      <c r="F28" s="31"/>
      <c r="G28" s="31"/>
      <c r="H28" s="27"/>
      <c r="I28" s="34">
        <v>0.6</v>
      </c>
      <c r="J28" s="34">
        <v>0.6</v>
      </c>
      <c r="K28" s="34">
        <v>0.7</v>
      </c>
      <c r="L28" s="34">
        <v>0.8</v>
      </c>
      <c r="M28" s="34">
        <v>0.9</v>
      </c>
      <c r="N28" s="34">
        <v>1</v>
      </c>
      <c r="O28" s="31"/>
      <c r="P28" s="31"/>
      <c r="Q28" s="31"/>
      <c r="R28" s="31"/>
    </row>
    <row r="29" spans="1:18" s="5" customFormat="1" ht="30" x14ac:dyDescent="0.35">
      <c r="A29" s="8">
        <f>MAX($A$10:A28,0)+1</f>
        <v>17</v>
      </c>
      <c r="B29" s="37" t="s">
        <v>60</v>
      </c>
      <c r="C29" s="36" t="s">
        <v>61</v>
      </c>
      <c r="D29" s="10"/>
      <c r="E29" s="29"/>
      <c r="F29" s="29"/>
      <c r="G29" s="29"/>
      <c r="H29" s="29"/>
      <c r="I29" s="29"/>
      <c r="J29" s="29"/>
      <c r="K29" s="29"/>
      <c r="L29" s="29"/>
      <c r="M29" s="29"/>
      <c r="N29" s="29"/>
      <c r="O29" s="29"/>
      <c r="P29" s="29"/>
      <c r="Q29" s="29"/>
      <c r="R29" s="29"/>
    </row>
    <row r="30" spans="1:18" s="5" customFormat="1" ht="20" x14ac:dyDescent="0.35">
      <c r="A30" s="8">
        <f>MAX($A$10:A29,0)+1</f>
        <v>18</v>
      </c>
      <c r="B30" s="8"/>
      <c r="C30" s="10" t="s">
        <v>62</v>
      </c>
      <c r="D30" s="10"/>
      <c r="E30" s="31"/>
      <c r="F30" s="31"/>
      <c r="G30" s="31"/>
      <c r="H30" s="31"/>
      <c r="I30" s="9"/>
      <c r="J30" s="9"/>
      <c r="K30" s="34">
        <v>0.3</v>
      </c>
      <c r="L30" s="34">
        <v>0.7</v>
      </c>
      <c r="M30" s="34">
        <v>0.8</v>
      </c>
      <c r="N30" s="34">
        <v>0.9</v>
      </c>
      <c r="O30" s="34">
        <v>1</v>
      </c>
      <c r="P30" s="31"/>
      <c r="Q30" s="31"/>
      <c r="R30" s="31"/>
    </row>
    <row r="31" spans="1:18" s="5" customFormat="1" ht="10.5" x14ac:dyDescent="0.35">
      <c r="A31" s="22"/>
      <c r="B31" s="26" t="s">
        <v>63</v>
      </c>
      <c r="C31" s="24"/>
      <c r="D31" s="24"/>
      <c r="E31" s="29"/>
      <c r="F31" s="29"/>
      <c r="G31" s="29"/>
      <c r="H31" s="29"/>
      <c r="I31" s="25"/>
      <c r="J31" s="29"/>
      <c r="K31" s="29"/>
      <c r="L31" s="29"/>
      <c r="M31" s="29"/>
      <c r="N31" s="29"/>
      <c r="O31" s="29"/>
      <c r="P31" s="29"/>
      <c r="Q31" s="29"/>
      <c r="R31" s="29"/>
    </row>
    <row r="32" spans="1:18" s="5" customFormat="1" ht="20" x14ac:dyDescent="0.35">
      <c r="A32" s="8">
        <f>MAX($A$10:A31,0)+1</f>
        <v>19</v>
      </c>
      <c r="B32" s="8"/>
      <c r="C32" s="10" t="s">
        <v>64</v>
      </c>
      <c r="D32" s="10"/>
      <c r="E32" s="31"/>
      <c r="F32" s="31"/>
      <c r="G32" s="31"/>
      <c r="H32" s="31"/>
      <c r="I32" s="9"/>
      <c r="J32" s="31"/>
      <c r="K32" s="34">
        <v>0.7</v>
      </c>
      <c r="L32" s="34">
        <v>1</v>
      </c>
      <c r="M32" s="31"/>
      <c r="N32" s="31"/>
      <c r="O32" s="31"/>
      <c r="P32" s="31"/>
      <c r="Q32" s="31"/>
      <c r="R32" s="31"/>
    </row>
    <row r="33" spans="1:18" s="5" customFormat="1" x14ac:dyDescent="0.35">
      <c r="A33" s="8">
        <f>MAX($A$10:A32,0)+1</f>
        <v>20</v>
      </c>
      <c r="B33" s="8"/>
      <c r="C33" s="10" t="s">
        <v>65</v>
      </c>
      <c r="D33" s="10"/>
      <c r="E33" s="31"/>
      <c r="F33" s="31"/>
      <c r="G33" s="31"/>
      <c r="H33" s="31"/>
      <c r="I33" s="9"/>
      <c r="J33" s="31"/>
      <c r="K33" s="34">
        <v>0.3</v>
      </c>
      <c r="L33" s="34">
        <v>0.5</v>
      </c>
      <c r="M33" s="34">
        <v>0.7</v>
      </c>
      <c r="N33" s="34">
        <v>0.9</v>
      </c>
      <c r="O33" s="34">
        <v>1</v>
      </c>
      <c r="P33" s="31"/>
      <c r="Q33" s="31"/>
      <c r="R33" s="31"/>
    </row>
    <row r="34" spans="1:18" s="5" customFormat="1" ht="11.5" customHeight="1" x14ac:dyDescent="0.35">
      <c r="A34" s="22"/>
      <c r="B34" s="26" t="s">
        <v>66</v>
      </c>
      <c r="C34" s="24"/>
      <c r="D34" s="24"/>
      <c r="E34" s="29"/>
      <c r="F34" s="29"/>
      <c r="G34" s="29"/>
      <c r="H34" s="29"/>
      <c r="I34" s="25"/>
      <c r="J34" s="29"/>
      <c r="K34" s="29"/>
      <c r="L34" s="29"/>
      <c r="M34" s="29"/>
      <c r="N34" s="29"/>
      <c r="O34" s="29"/>
      <c r="P34" s="29"/>
      <c r="Q34" s="29"/>
      <c r="R34" s="29"/>
    </row>
    <row r="35" spans="1:18" s="5" customFormat="1" x14ac:dyDescent="0.35">
      <c r="A35" s="8">
        <f>MAX($A$10:A34,0)+1</f>
        <v>21</v>
      </c>
      <c r="B35" s="8"/>
      <c r="C35" s="10" t="s">
        <v>67</v>
      </c>
      <c r="D35" s="46"/>
      <c r="E35" s="31"/>
      <c r="F35" s="31"/>
      <c r="G35" s="31"/>
      <c r="H35" s="31"/>
      <c r="I35" s="9"/>
      <c r="J35" s="9"/>
      <c r="K35" s="34">
        <v>0</v>
      </c>
      <c r="L35" s="34">
        <v>0.5</v>
      </c>
      <c r="M35" s="34">
        <v>0.7</v>
      </c>
      <c r="N35" s="34">
        <v>0.8</v>
      </c>
      <c r="O35" s="34">
        <v>1</v>
      </c>
      <c r="P35" s="31"/>
      <c r="Q35" s="31"/>
      <c r="R35" s="31"/>
    </row>
    <row r="36" spans="1:18" s="5" customFormat="1" ht="20" x14ac:dyDescent="0.35">
      <c r="A36" s="8">
        <f>MAX($A$10:A35,0)+1</f>
        <v>22</v>
      </c>
      <c r="B36" s="8"/>
      <c r="C36" s="10" t="s">
        <v>68</v>
      </c>
      <c r="D36" s="45"/>
      <c r="E36" s="31"/>
      <c r="F36" s="31"/>
      <c r="G36" s="34">
        <v>0.2</v>
      </c>
      <c r="H36" s="34">
        <v>0.6</v>
      </c>
      <c r="I36" s="34">
        <v>0.7</v>
      </c>
      <c r="J36" s="34">
        <v>0.6</v>
      </c>
      <c r="K36" s="34">
        <v>0.6</v>
      </c>
      <c r="L36" s="34">
        <v>0.7</v>
      </c>
      <c r="M36" s="34">
        <v>0.8</v>
      </c>
      <c r="N36" s="34">
        <v>0.8</v>
      </c>
      <c r="O36" s="34">
        <v>1</v>
      </c>
      <c r="P36" s="31"/>
      <c r="Q36" s="31"/>
      <c r="R36" s="31"/>
    </row>
    <row r="37" spans="1:18" s="5" customFormat="1" x14ac:dyDescent="0.35">
      <c r="A37" s="8">
        <f>MAX($A$10:A36,0)+1</f>
        <v>23</v>
      </c>
      <c r="B37" s="8"/>
      <c r="C37" s="10" t="s">
        <v>69</v>
      </c>
      <c r="D37" s="45"/>
      <c r="E37" s="31"/>
      <c r="F37" s="31"/>
      <c r="G37" s="27"/>
      <c r="H37" s="27"/>
      <c r="I37" s="34">
        <v>0.5</v>
      </c>
      <c r="J37" s="34">
        <v>0.5</v>
      </c>
      <c r="K37" s="34">
        <v>0.6</v>
      </c>
      <c r="L37" s="34">
        <v>0.7</v>
      </c>
      <c r="M37" s="34">
        <v>0.8</v>
      </c>
      <c r="N37" s="34">
        <v>0.8</v>
      </c>
      <c r="O37" s="34">
        <v>1</v>
      </c>
      <c r="P37" s="31"/>
      <c r="Q37" s="31"/>
      <c r="R37" s="31"/>
    </row>
    <row r="38" spans="1:18" s="5" customFormat="1" x14ac:dyDescent="0.35">
      <c r="A38" s="8">
        <f>MAX($A$10:A37,0)+1</f>
        <v>24</v>
      </c>
      <c r="B38" s="8"/>
      <c r="C38" s="10" t="s">
        <v>70</v>
      </c>
      <c r="D38" s="45"/>
      <c r="E38" s="31"/>
      <c r="F38" s="31"/>
      <c r="G38" s="27"/>
      <c r="H38" s="27"/>
      <c r="I38" s="34">
        <v>0.7</v>
      </c>
      <c r="J38" s="34">
        <v>0.6</v>
      </c>
      <c r="K38" s="34">
        <v>0.7</v>
      </c>
      <c r="L38" s="34">
        <v>0.7</v>
      </c>
      <c r="M38" s="34">
        <v>0.8</v>
      </c>
      <c r="N38" s="34">
        <v>0.8</v>
      </c>
      <c r="O38" s="34">
        <v>1</v>
      </c>
      <c r="P38" s="31"/>
      <c r="Q38" s="31"/>
      <c r="R38" s="31"/>
    </row>
    <row r="39" spans="1:18" s="5" customFormat="1" x14ac:dyDescent="0.35">
      <c r="A39" s="8">
        <f>MAX($A$10:A38,0)+1</f>
        <v>25</v>
      </c>
      <c r="B39" s="8"/>
      <c r="C39" s="10" t="s">
        <v>71</v>
      </c>
      <c r="D39" s="45"/>
      <c r="E39" s="31"/>
      <c r="F39" s="31"/>
      <c r="G39" s="34">
        <v>0.2</v>
      </c>
      <c r="H39" s="34">
        <v>0.7</v>
      </c>
      <c r="I39" s="34">
        <v>0.7</v>
      </c>
      <c r="J39" s="34">
        <v>0.6</v>
      </c>
      <c r="K39" s="34">
        <v>0.6</v>
      </c>
      <c r="L39" s="34">
        <v>0.7</v>
      </c>
      <c r="M39" s="34">
        <v>0.8</v>
      </c>
      <c r="N39" s="34">
        <v>0.8</v>
      </c>
      <c r="O39" s="34">
        <v>1</v>
      </c>
      <c r="P39" s="31"/>
      <c r="Q39" s="31"/>
      <c r="R39" s="31"/>
    </row>
    <row r="40" spans="1:18" s="5" customFormat="1" ht="20" x14ac:dyDescent="0.35">
      <c r="A40" s="8">
        <f>MAX($A$10:A39,0)+1</f>
        <v>26</v>
      </c>
      <c r="B40" s="8"/>
      <c r="C40" s="10" t="s">
        <v>72</v>
      </c>
      <c r="D40" s="45"/>
      <c r="E40" s="31"/>
      <c r="F40" s="31"/>
      <c r="G40" s="34">
        <v>0.2</v>
      </c>
      <c r="H40" s="34">
        <v>0.7</v>
      </c>
      <c r="I40" s="34">
        <v>0.7</v>
      </c>
      <c r="J40" s="34">
        <v>0.6</v>
      </c>
      <c r="K40" s="34">
        <v>0.6</v>
      </c>
      <c r="L40" s="34">
        <v>0.7</v>
      </c>
      <c r="M40" s="34">
        <v>0.8</v>
      </c>
      <c r="N40" s="34">
        <v>0.8</v>
      </c>
      <c r="O40" s="34">
        <v>1</v>
      </c>
      <c r="P40" s="31"/>
      <c r="Q40" s="31"/>
      <c r="R40" s="31"/>
    </row>
    <row r="41" spans="1:18" s="5" customFormat="1" ht="20" x14ac:dyDescent="0.35">
      <c r="A41" s="8">
        <f>MAX($A$10:A40,0)+1</f>
        <v>27</v>
      </c>
      <c r="B41" s="8"/>
      <c r="C41" s="10" t="s">
        <v>73</v>
      </c>
      <c r="D41" s="45"/>
      <c r="E41" s="31"/>
      <c r="F41" s="31"/>
      <c r="G41" s="31"/>
      <c r="H41" s="34">
        <v>0.3</v>
      </c>
      <c r="I41" s="34">
        <v>0.7</v>
      </c>
      <c r="J41" s="34">
        <v>0.6</v>
      </c>
      <c r="K41" s="34">
        <v>0.6</v>
      </c>
      <c r="L41" s="34">
        <v>0.7</v>
      </c>
      <c r="M41" s="34">
        <v>0.8</v>
      </c>
      <c r="N41" s="34">
        <v>0.8</v>
      </c>
      <c r="O41" s="34">
        <v>1</v>
      </c>
      <c r="P41" s="31"/>
      <c r="Q41" s="31"/>
      <c r="R41" s="31"/>
    </row>
    <row r="42" spans="1:18" s="5" customFormat="1" ht="30" x14ac:dyDescent="0.35">
      <c r="A42" s="8">
        <f>MAX($A$10:A41,0)+1</f>
        <v>28</v>
      </c>
      <c r="B42" s="8"/>
      <c r="C42" s="10" t="s">
        <v>74</v>
      </c>
      <c r="D42" s="10" t="s">
        <v>75</v>
      </c>
      <c r="E42" s="31"/>
      <c r="F42" s="31"/>
      <c r="G42" s="31"/>
      <c r="H42" s="34">
        <v>0.3</v>
      </c>
      <c r="I42" s="34">
        <v>0.7</v>
      </c>
      <c r="J42" s="34">
        <v>0.6</v>
      </c>
      <c r="K42" s="34">
        <v>0.6</v>
      </c>
      <c r="L42" s="34">
        <v>0.7</v>
      </c>
      <c r="M42" s="34">
        <v>0.8</v>
      </c>
      <c r="N42" s="34">
        <v>0.8</v>
      </c>
      <c r="O42" s="34">
        <v>1</v>
      </c>
      <c r="P42" s="31"/>
      <c r="Q42" s="31"/>
      <c r="R42" s="31"/>
    </row>
    <row r="43" spans="1:18" s="5" customFormat="1" ht="20" x14ac:dyDescent="0.35">
      <c r="A43" s="8">
        <f>MAX($A$10:A42,0)+1</f>
        <v>29</v>
      </c>
      <c r="B43" s="8"/>
      <c r="C43" s="10" t="s">
        <v>76</v>
      </c>
      <c r="D43" s="10"/>
      <c r="E43" s="31"/>
      <c r="F43" s="31"/>
      <c r="G43" s="31"/>
      <c r="H43" s="31"/>
      <c r="I43" s="31"/>
      <c r="J43" s="34">
        <v>0.5</v>
      </c>
      <c r="K43" s="34">
        <v>0.7</v>
      </c>
      <c r="L43" s="34">
        <v>0.7</v>
      </c>
      <c r="M43" s="34">
        <v>0.8</v>
      </c>
      <c r="N43" s="34">
        <v>0.8</v>
      </c>
      <c r="O43" s="34">
        <v>0.8</v>
      </c>
      <c r="P43" s="34">
        <v>1</v>
      </c>
      <c r="Q43" s="31"/>
      <c r="R43" s="31"/>
    </row>
    <row r="44" spans="1:18" s="5" customFormat="1" x14ac:dyDescent="0.35">
      <c r="A44" s="8">
        <f>MAX($A$10:A43,0)+1</f>
        <v>30</v>
      </c>
      <c r="B44" s="8"/>
      <c r="C44" s="10" t="s">
        <v>77</v>
      </c>
      <c r="D44" s="10"/>
      <c r="E44" s="31"/>
      <c r="F44" s="31"/>
      <c r="G44" s="31"/>
      <c r="H44" s="31"/>
      <c r="I44" s="31"/>
      <c r="J44" s="34">
        <v>0.3</v>
      </c>
      <c r="K44" s="34">
        <v>0.7</v>
      </c>
      <c r="L44" s="34">
        <v>0.7</v>
      </c>
      <c r="M44" s="34">
        <v>0.8</v>
      </c>
      <c r="N44" s="34">
        <v>0.8</v>
      </c>
      <c r="O44" s="34">
        <v>1</v>
      </c>
      <c r="P44" s="31"/>
      <c r="Q44" s="31"/>
      <c r="R44" s="31"/>
    </row>
    <row r="45" spans="1:18" s="5" customFormat="1" x14ac:dyDescent="0.35">
      <c r="A45" s="8">
        <f>MAX($A$10:A44,0)+1</f>
        <v>31</v>
      </c>
      <c r="B45" s="35"/>
      <c r="C45" s="10" t="s">
        <v>78</v>
      </c>
      <c r="D45" s="10"/>
      <c r="E45" s="31"/>
      <c r="F45" s="31"/>
      <c r="G45" s="31"/>
      <c r="H45" s="31"/>
      <c r="I45" s="34">
        <v>0.3</v>
      </c>
      <c r="J45" s="34">
        <v>0.5</v>
      </c>
      <c r="K45" s="34">
        <v>0.7</v>
      </c>
      <c r="L45" s="34">
        <v>0.7</v>
      </c>
      <c r="M45" s="34">
        <v>0.8</v>
      </c>
      <c r="N45" s="34">
        <v>0.8</v>
      </c>
      <c r="O45" s="34">
        <v>1</v>
      </c>
      <c r="P45" s="31"/>
      <c r="Q45" s="31"/>
      <c r="R45" s="31"/>
    </row>
    <row r="46" spans="1:18" s="5" customFormat="1" ht="20" x14ac:dyDescent="0.35">
      <c r="A46" s="8">
        <f>MAX($A$10:A45,0)+1</f>
        <v>32</v>
      </c>
      <c r="B46" s="35"/>
      <c r="C46" s="10" t="s">
        <v>79</v>
      </c>
      <c r="D46" s="10"/>
      <c r="E46" s="31"/>
      <c r="F46" s="31"/>
      <c r="G46" s="31"/>
      <c r="H46" s="31"/>
      <c r="I46" s="34">
        <v>0.3</v>
      </c>
      <c r="J46" s="34">
        <v>0.5</v>
      </c>
      <c r="K46" s="34">
        <v>0.7</v>
      </c>
      <c r="L46" s="34">
        <v>0.7</v>
      </c>
      <c r="M46" s="34">
        <v>0.8</v>
      </c>
      <c r="N46" s="34">
        <v>0.8</v>
      </c>
      <c r="O46" s="34">
        <v>1</v>
      </c>
      <c r="P46" s="31"/>
      <c r="Q46" s="31"/>
      <c r="R46" s="31"/>
    </row>
    <row r="47" spans="1:18" s="5" customFormat="1" x14ac:dyDescent="0.35">
      <c r="A47" s="8">
        <f>MAX($A$10:A46,0)+1</f>
        <v>33</v>
      </c>
      <c r="B47" s="35"/>
      <c r="C47" s="10" t="s">
        <v>80</v>
      </c>
      <c r="D47" s="10"/>
      <c r="E47" s="31"/>
      <c r="F47" s="31"/>
      <c r="G47" s="31"/>
      <c r="H47" s="31"/>
      <c r="I47" s="34">
        <v>0.3</v>
      </c>
      <c r="J47" s="34">
        <v>0.5</v>
      </c>
      <c r="K47" s="34">
        <v>0.7</v>
      </c>
      <c r="L47" s="34">
        <v>0.7</v>
      </c>
      <c r="M47" s="34">
        <v>0.8</v>
      </c>
      <c r="N47" s="34">
        <v>0.8</v>
      </c>
      <c r="O47" s="34">
        <v>1</v>
      </c>
      <c r="P47" s="31"/>
      <c r="Q47" s="31"/>
      <c r="R47" s="31"/>
    </row>
    <row r="48" spans="1:18" s="5" customFormat="1" x14ac:dyDescent="0.35">
      <c r="A48" s="8">
        <f>MAX($A$10:A47,0)+1</f>
        <v>34</v>
      </c>
      <c r="B48" s="35"/>
      <c r="C48" s="10" t="s">
        <v>81</v>
      </c>
      <c r="D48" s="10"/>
      <c r="E48" s="31"/>
      <c r="F48" s="31"/>
      <c r="G48" s="31"/>
      <c r="H48" s="31"/>
      <c r="I48" s="34">
        <v>0.3</v>
      </c>
      <c r="J48" s="34">
        <v>0.5</v>
      </c>
      <c r="K48" s="34">
        <v>0.7</v>
      </c>
      <c r="L48" s="34">
        <v>0.7</v>
      </c>
      <c r="M48" s="34">
        <v>0.8</v>
      </c>
      <c r="N48" s="34">
        <v>0.8</v>
      </c>
      <c r="O48" s="34">
        <v>1</v>
      </c>
      <c r="P48" s="31"/>
      <c r="Q48" s="31"/>
      <c r="R48" s="31"/>
    </row>
    <row r="49" spans="1:18" s="5" customFormat="1" ht="10.5" x14ac:dyDescent="0.35">
      <c r="A49" s="22"/>
      <c r="B49" s="26" t="s">
        <v>82</v>
      </c>
      <c r="C49" s="24"/>
      <c r="D49" s="24"/>
      <c r="E49" s="29"/>
      <c r="F49" s="29"/>
      <c r="G49" s="29"/>
      <c r="H49" s="29"/>
      <c r="I49" s="25"/>
      <c r="J49" s="29"/>
      <c r="K49" s="29"/>
      <c r="L49" s="29"/>
      <c r="M49" s="29"/>
      <c r="N49" s="29"/>
      <c r="O49" s="29"/>
      <c r="P49" s="29"/>
      <c r="Q49" s="29"/>
      <c r="R49" s="29"/>
    </row>
    <row r="50" spans="1:18" s="5" customFormat="1" x14ac:dyDescent="0.35">
      <c r="A50" s="8">
        <f>MAX($A$10:A49,0)+1</f>
        <v>35</v>
      </c>
      <c r="B50" s="8"/>
      <c r="C50" s="10" t="s">
        <v>83</v>
      </c>
      <c r="D50" s="10"/>
      <c r="E50" s="31"/>
      <c r="F50" s="31"/>
      <c r="G50" s="31"/>
      <c r="H50" s="31"/>
      <c r="I50" s="9"/>
      <c r="J50" s="34">
        <v>0.5</v>
      </c>
      <c r="K50" s="34">
        <v>0.7</v>
      </c>
      <c r="L50" s="34">
        <v>0.7</v>
      </c>
      <c r="M50" s="34">
        <v>0.7</v>
      </c>
      <c r="N50" s="34">
        <v>0.8</v>
      </c>
      <c r="O50" s="34">
        <v>1</v>
      </c>
      <c r="P50" s="31"/>
      <c r="Q50" s="31"/>
      <c r="R50" s="31"/>
    </row>
    <row r="51" spans="1:18" s="5" customFormat="1" ht="20" x14ac:dyDescent="0.35">
      <c r="A51" s="8">
        <f>MAX($A$10:A50,0)+1</f>
        <v>36</v>
      </c>
      <c r="B51" s="8"/>
      <c r="C51" s="10" t="s">
        <v>84</v>
      </c>
      <c r="D51" s="10"/>
      <c r="E51" s="31"/>
      <c r="F51" s="31"/>
      <c r="G51" s="31"/>
      <c r="H51" s="31"/>
      <c r="I51" s="9"/>
      <c r="J51" s="34">
        <v>0.5</v>
      </c>
      <c r="K51" s="34">
        <v>0.7</v>
      </c>
      <c r="L51" s="34">
        <v>0.7</v>
      </c>
      <c r="M51" s="34">
        <v>0.8</v>
      </c>
      <c r="N51" s="34">
        <v>0.8</v>
      </c>
      <c r="O51" s="34">
        <v>1</v>
      </c>
      <c r="P51" s="31"/>
      <c r="Q51" s="31"/>
      <c r="R51" s="31"/>
    </row>
    <row r="52" spans="1:18" s="5" customFormat="1" ht="20" x14ac:dyDescent="0.35">
      <c r="A52" s="8">
        <f>MAX($A$10:A51,0)+1</f>
        <v>37</v>
      </c>
      <c r="B52" s="8"/>
      <c r="C52" s="10" t="s">
        <v>85</v>
      </c>
      <c r="D52" s="10"/>
      <c r="E52" s="31"/>
      <c r="F52" s="31"/>
      <c r="G52" s="31"/>
      <c r="H52" s="31"/>
      <c r="I52" s="9"/>
      <c r="J52" s="34">
        <v>0</v>
      </c>
      <c r="K52" s="34">
        <v>0.7</v>
      </c>
      <c r="L52" s="34">
        <v>0.7</v>
      </c>
      <c r="M52" s="34">
        <v>0.8</v>
      </c>
      <c r="N52" s="34">
        <v>0.8</v>
      </c>
      <c r="O52" s="34">
        <v>1</v>
      </c>
      <c r="P52" s="31"/>
      <c r="Q52" s="31"/>
      <c r="R52" s="31"/>
    </row>
    <row r="53" spans="1:18" s="5" customFormat="1" ht="20" x14ac:dyDescent="0.35">
      <c r="A53" s="8">
        <f>MAX($A$10:A52,0)+1</f>
        <v>38</v>
      </c>
      <c r="B53" s="8"/>
      <c r="C53" s="10" t="s">
        <v>86</v>
      </c>
      <c r="D53" s="10"/>
      <c r="E53" s="31"/>
      <c r="F53" s="31"/>
      <c r="G53" s="31"/>
      <c r="H53" s="31"/>
      <c r="I53" s="9"/>
      <c r="J53" s="34">
        <v>0.5</v>
      </c>
      <c r="K53" s="34">
        <v>0.7</v>
      </c>
      <c r="L53" s="34">
        <v>0.7</v>
      </c>
      <c r="M53" s="34">
        <v>0.8</v>
      </c>
      <c r="N53" s="34">
        <v>0.8</v>
      </c>
      <c r="O53" s="34">
        <v>1</v>
      </c>
      <c r="P53" s="31"/>
      <c r="Q53" s="31"/>
      <c r="R53" s="31"/>
    </row>
    <row r="54" spans="1:18" s="5" customFormat="1" ht="20" x14ac:dyDescent="0.35">
      <c r="A54" s="8">
        <f>MAX($A$10:A53,0)+1</f>
        <v>39</v>
      </c>
      <c r="B54" s="8"/>
      <c r="C54" s="10" t="s">
        <v>87</v>
      </c>
      <c r="D54" s="10"/>
      <c r="E54" s="31"/>
      <c r="F54" s="31"/>
      <c r="G54" s="31"/>
      <c r="H54" s="31"/>
      <c r="I54" s="9"/>
      <c r="J54" s="34">
        <v>0</v>
      </c>
      <c r="K54" s="34">
        <v>0.7</v>
      </c>
      <c r="L54" s="34">
        <v>0.7</v>
      </c>
      <c r="M54" s="34">
        <v>0.8</v>
      </c>
      <c r="N54" s="34">
        <v>0.8</v>
      </c>
      <c r="O54" s="34">
        <v>1</v>
      </c>
      <c r="P54" s="31"/>
      <c r="Q54" s="31"/>
      <c r="R54" s="31"/>
    </row>
    <row r="55" spans="1:18" s="5" customFormat="1" ht="20" x14ac:dyDescent="0.35">
      <c r="A55" s="8">
        <f>MAX($A$10:A54,0)+1</f>
        <v>40</v>
      </c>
      <c r="B55" s="8"/>
      <c r="C55" s="10" t="s">
        <v>88</v>
      </c>
      <c r="D55" s="10"/>
      <c r="E55" s="31"/>
      <c r="F55" s="31"/>
      <c r="G55" s="31"/>
      <c r="H55" s="31"/>
      <c r="I55" s="9"/>
      <c r="J55" s="34">
        <v>0</v>
      </c>
      <c r="K55" s="34">
        <v>0.3</v>
      </c>
      <c r="L55" s="34">
        <v>0.5</v>
      </c>
      <c r="M55" s="34">
        <v>0.8</v>
      </c>
      <c r="N55" s="34">
        <v>0.8</v>
      </c>
      <c r="O55" s="34">
        <v>0.8</v>
      </c>
      <c r="P55" s="34">
        <v>1</v>
      </c>
      <c r="Q55" s="31"/>
      <c r="R55" s="31"/>
    </row>
    <row r="56" spans="1:18" s="5" customFormat="1" ht="10.5" x14ac:dyDescent="0.35">
      <c r="A56" s="22"/>
      <c r="B56" s="26" t="s">
        <v>89</v>
      </c>
      <c r="C56" s="24"/>
      <c r="D56" s="24"/>
      <c r="E56" s="29"/>
      <c r="F56" s="29"/>
      <c r="G56" s="29"/>
      <c r="H56" s="29"/>
      <c r="I56" s="25"/>
      <c r="J56" s="29"/>
      <c r="K56" s="29"/>
      <c r="L56" s="29"/>
      <c r="M56" s="29"/>
      <c r="N56" s="29"/>
      <c r="O56" s="29"/>
      <c r="P56" s="29"/>
      <c r="Q56" s="29"/>
      <c r="R56" s="29"/>
    </row>
    <row r="57" spans="1:18" s="5" customFormat="1" ht="30" x14ac:dyDescent="0.35">
      <c r="A57" s="8">
        <f>MAX($A$10:A56,0)+1</f>
        <v>41</v>
      </c>
      <c r="B57" s="8"/>
      <c r="C57" s="10" t="s">
        <v>90</v>
      </c>
      <c r="D57" s="10"/>
      <c r="E57" s="31"/>
      <c r="F57" s="31"/>
      <c r="G57" s="31"/>
      <c r="H57" s="31"/>
      <c r="I57" s="9"/>
      <c r="J57" s="31"/>
      <c r="K57" s="34">
        <v>0</v>
      </c>
      <c r="L57" s="34">
        <v>0.5</v>
      </c>
      <c r="M57" s="34">
        <v>0.7</v>
      </c>
      <c r="N57" s="34">
        <v>0.8</v>
      </c>
      <c r="O57" s="34">
        <v>1</v>
      </c>
      <c r="P57" s="31"/>
      <c r="Q57" s="31"/>
      <c r="R57" s="31"/>
    </row>
    <row r="58" spans="1:18" s="5" customFormat="1" x14ac:dyDescent="0.35">
      <c r="A58" s="8">
        <f>MAX($A$10:A57,0)+1</f>
        <v>42</v>
      </c>
      <c r="B58" s="8"/>
      <c r="C58" s="10" t="s">
        <v>91</v>
      </c>
      <c r="D58" s="10"/>
      <c r="E58" s="31"/>
      <c r="F58" s="31"/>
      <c r="G58" s="31"/>
      <c r="H58" s="31"/>
      <c r="I58" s="9"/>
      <c r="J58" s="48">
        <v>0.1</v>
      </c>
      <c r="K58" s="34">
        <v>0.2</v>
      </c>
      <c r="L58" s="34">
        <v>0.3</v>
      </c>
      <c r="M58" s="34">
        <v>0.3</v>
      </c>
      <c r="N58" s="34">
        <v>0.5</v>
      </c>
      <c r="O58" s="34">
        <v>0.6</v>
      </c>
      <c r="P58" s="63">
        <v>0.6</v>
      </c>
      <c r="Q58" s="31"/>
      <c r="R58" s="31"/>
    </row>
    <row r="59" spans="1:18" s="5" customFormat="1" x14ac:dyDescent="0.35">
      <c r="A59" s="8">
        <f>MAX($A$10:A58,0)+1</f>
        <v>43</v>
      </c>
      <c r="B59" s="8"/>
      <c r="C59" s="10" t="s">
        <v>92</v>
      </c>
      <c r="D59" s="10"/>
      <c r="E59" s="31"/>
      <c r="F59" s="31"/>
      <c r="G59" s="31"/>
      <c r="H59" s="31"/>
      <c r="I59" s="9"/>
      <c r="J59" s="27"/>
      <c r="K59" s="27"/>
      <c r="L59" s="34">
        <v>0.5</v>
      </c>
      <c r="M59" s="34">
        <v>0.7</v>
      </c>
      <c r="N59" s="34">
        <v>0.8</v>
      </c>
      <c r="O59" s="34">
        <v>1</v>
      </c>
      <c r="P59" s="31"/>
      <c r="Q59" s="31"/>
      <c r="R59" s="31"/>
    </row>
    <row r="60" spans="1:18" s="5" customFormat="1" x14ac:dyDescent="0.35">
      <c r="A60" s="8">
        <f>MAX($A$10:A59,0)+1</f>
        <v>44</v>
      </c>
      <c r="B60" s="8"/>
      <c r="C60" s="10" t="s">
        <v>93</v>
      </c>
      <c r="D60" s="45"/>
      <c r="E60" s="31"/>
      <c r="F60" s="31"/>
      <c r="G60" s="31"/>
      <c r="H60" s="31"/>
      <c r="I60" s="9"/>
      <c r="J60" s="48">
        <v>0.1</v>
      </c>
      <c r="K60" s="34">
        <v>0.5</v>
      </c>
      <c r="L60" s="34">
        <v>0.7</v>
      </c>
      <c r="M60" s="34">
        <v>0.8</v>
      </c>
      <c r="N60" s="34">
        <v>0.8</v>
      </c>
      <c r="O60" s="34">
        <v>1</v>
      </c>
      <c r="P60" s="31"/>
      <c r="Q60" s="31"/>
      <c r="R60" s="31"/>
    </row>
    <row r="61" spans="1:18" s="5" customFormat="1" ht="10.5" x14ac:dyDescent="0.35">
      <c r="A61" s="22"/>
      <c r="B61" s="26" t="s">
        <v>94</v>
      </c>
      <c r="C61" s="24"/>
      <c r="D61" s="24"/>
      <c r="E61" s="29"/>
      <c r="F61" s="29"/>
      <c r="G61" s="29"/>
      <c r="H61" s="29"/>
      <c r="I61" s="25"/>
      <c r="J61" s="29"/>
      <c r="K61" s="29"/>
      <c r="L61" s="29"/>
      <c r="M61" s="29"/>
      <c r="N61" s="29"/>
      <c r="O61" s="29"/>
      <c r="P61" s="29"/>
      <c r="Q61" s="29"/>
      <c r="R61" s="29"/>
    </row>
    <row r="62" spans="1:18" s="5" customFormat="1" ht="50" x14ac:dyDescent="0.35">
      <c r="A62" s="8">
        <f>MAX($A$10:A61,0)+1</f>
        <v>45</v>
      </c>
      <c r="B62" s="8"/>
      <c r="C62" s="10" t="s">
        <v>95</v>
      </c>
      <c r="D62" s="45" t="s">
        <v>96</v>
      </c>
      <c r="E62" s="31"/>
      <c r="F62" s="31"/>
      <c r="G62" s="31"/>
      <c r="H62" s="31"/>
      <c r="I62" s="9"/>
      <c r="J62" s="31"/>
      <c r="K62" s="34">
        <v>0</v>
      </c>
      <c r="L62" s="34">
        <v>0.5</v>
      </c>
      <c r="M62" s="34">
        <v>0.7</v>
      </c>
      <c r="N62" s="34">
        <v>1</v>
      </c>
      <c r="O62" s="31"/>
      <c r="P62" s="31"/>
      <c r="Q62" s="31"/>
      <c r="R62" s="31"/>
    </row>
    <row r="63" spans="1:18" s="5" customFormat="1" ht="30" x14ac:dyDescent="0.35">
      <c r="A63" s="8">
        <f>MAX($A$10:A62,0)+1</f>
        <v>46</v>
      </c>
      <c r="B63" s="8"/>
      <c r="C63" s="10" t="s">
        <v>97</v>
      </c>
      <c r="D63" s="45" t="s">
        <v>96</v>
      </c>
      <c r="E63" s="31"/>
      <c r="F63" s="31"/>
      <c r="G63" s="31"/>
      <c r="H63" s="31"/>
      <c r="I63" s="9"/>
      <c r="J63" s="31"/>
      <c r="K63" s="34">
        <v>0.7</v>
      </c>
      <c r="L63" s="34">
        <v>1</v>
      </c>
      <c r="M63" s="31"/>
      <c r="N63" s="31"/>
      <c r="O63" s="31"/>
      <c r="P63" s="31"/>
      <c r="Q63" s="31"/>
      <c r="R63" s="31"/>
    </row>
    <row r="64" spans="1:18" s="5" customFormat="1" ht="40" x14ac:dyDescent="0.35">
      <c r="A64" s="8">
        <f>MAX($A$10:A63,0)+1</f>
        <v>47</v>
      </c>
      <c r="B64" s="8"/>
      <c r="C64" s="10" t="s">
        <v>98</v>
      </c>
      <c r="D64" s="45" t="s">
        <v>96</v>
      </c>
      <c r="E64" s="31"/>
      <c r="F64" s="31"/>
      <c r="G64" s="31"/>
      <c r="H64" s="31"/>
      <c r="I64" s="9"/>
      <c r="J64" s="31"/>
      <c r="K64" s="34">
        <v>0.7</v>
      </c>
      <c r="L64" s="34">
        <v>1</v>
      </c>
      <c r="M64" s="31"/>
      <c r="N64" s="31"/>
      <c r="O64" s="31"/>
      <c r="P64" s="31"/>
      <c r="Q64" s="31"/>
      <c r="R64" s="31"/>
    </row>
    <row r="65" spans="1:18" s="5" customFormat="1" ht="40" x14ac:dyDescent="0.35">
      <c r="A65" s="8">
        <f>MAX($A$10:A64,0)+1</f>
        <v>48</v>
      </c>
      <c r="B65" s="8"/>
      <c r="C65" s="10" t="s">
        <v>99</v>
      </c>
      <c r="D65" s="45" t="s">
        <v>96</v>
      </c>
      <c r="E65" s="31"/>
      <c r="F65" s="31"/>
      <c r="G65" s="31"/>
      <c r="H65" s="31"/>
      <c r="I65" s="9"/>
      <c r="J65" s="31"/>
      <c r="K65" s="34">
        <v>0</v>
      </c>
      <c r="L65" s="34">
        <v>0.5</v>
      </c>
      <c r="M65" s="34">
        <v>0.8</v>
      </c>
      <c r="N65" s="34">
        <v>1</v>
      </c>
      <c r="O65" s="31"/>
      <c r="P65" s="31"/>
      <c r="Q65" s="31"/>
      <c r="R65" s="31"/>
    </row>
    <row r="66" spans="1:18" s="5" customFormat="1" ht="50" x14ac:dyDescent="0.35">
      <c r="A66" s="8">
        <f>MAX($A$10:A65,0)+1</f>
        <v>49</v>
      </c>
      <c r="B66" s="8"/>
      <c r="C66" s="10" t="s">
        <v>100</v>
      </c>
      <c r="D66" s="45" t="s">
        <v>96</v>
      </c>
      <c r="E66" s="31"/>
      <c r="F66" s="31"/>
      <c r="G66" s="31"/>
      <c r="H66" s="31"/>
      <c r="I66" s="9"/>
      <c r="J66" s="31"/>
      <c r="K66" s="34">
        <v>0.7</v>
      </c>
      <c r="L66" s="34">
        <v>1</v>
      </c>
      <c r="M66" s="31"/>
      <c r="N66" s="31"/>
      <c r="O66" s="31"/>
      <c r="P66" s="31"/>
      <c r="Q66" s="31"/>
      <c r="R66" s="31"/>
    </row>
    <row r="67" spans="1:18" s="5" customFormat="1" ht="30" x14ac:dyDescent="0.35">
      <c r="A67" s="8">
        <f>MAX($A$10:A66,0)+1</f>
        <v>50</v>
      </c>
      <c r="B67" s="8"/>
      <c r="C67" s="10" t="s">
        <v>101</v>
      </c>
      <c r="D67" s="45" t="s">
        <v>96</v>
      </c>
      <c r="E67" s="31"/>
      <c r="F67" s="31"/>
      <c r="G67" s="31"/>
      <c r="H67" s="31"/>
      <c r="I67" s="9"/>
      <c r="J67" s="31"/>
      <c r="K67" s="34">
        <v>0</v>
      </c>
      <c r="L67" s="34">
        <v>0.7</v>
      </c>
      <c r="M67" s="34">
        <v>0.7</v>
      </c>
      <c r="N67" s="34">
        <v>1</v>
      </c>
      <c r="O67" s="31"/>
      <c r="P67" s="31"/>
      <c r="Q67" s="31"/>
      <c r="R67" s="31"/>
    </row>
    <row r="68" spans="1:18" s="5" customFormat="1" ht="40" x14ac:dyDescent="0.35">
      <c r="A68" s="8">
        <f>MAX($A$10:A67,0)+1</f>
        <v>51</v>
      </c>
      <c r="B68" s="8"/>
      <c r="C68" s="10" t="s">
        <v>102</v>
      </c>
      <c r="D68" s="45" t="s">
        <v>103</v>
      </c>
      <c r="E68" s="31"/>
      <c r="F68" s="31"/>
      <c r="G68" s="31"/>
      <c r="H68" s="31"/>
      <c r="I68" s="9"/>
      <c r="J68" s="31"/>
      <c r="K68" s="29"/>
      <c r="L68" s="29"/>
      <c r="M68" s="29"/>
      <c r="N68" s="29"/>
      <c r="O68" s="29"/>
      <c r="P68" s="29"/>
      <c r="Q68" s="29"/>
      <c r="R68" s="29"/>
    </row>
    <row r="69" spans="1:18" s="5" customFormat="1" ht="60" x14ac:dyDescent="0.35">
      <c r="A69" s="8">
        <f>MAX($A$10:A68,0)+1</f>
        <v>52</v>
      </c>
      <c r="B69" s="8"/>
      <c r="C69" s="10" t="s">
        <v>104</v>
      </c>
      <c r="D69" s="45" t="s">
        <v>96</v>
      </c>
      <c r="E69" s="31"/>
      <c r="F69" s="31"/>
      <c r="G69" s="31"/>
      <c r="H69" s="31"/>
      <c r="I69" s="9"/>
      <c r="J69" s="31"/>
      <c r="K69" s="34">
        <v>0</v>
      </c>
      <c r="L69" s="34">
        <v>0.7</v>
      </c>
      <c r="M69" s="34">
        <v>1</v>
      </c>
      <c r="N69" s="31"/>
      <c r="O69" s="31"/>
      <c r="P69" s="31"/>
      <c r="Q69" s="31"/>
      <c r="R69" s="31"/>
    </row>
    <row r="70" spans="1:18" s="5" customFormat="1" ht="40" x14ac:dyDescent="0.35">
      <c r="A70" s="8">
        <f>MAX($A$10:A69,0)+1</f>
        <v>53</v>
      </c>
      <c r="B70" s="8"/>
      <c r="C70" s="10" t="s">
        <v>105</v>
      </c>
      <c r="D70" s="45" t="s">
        <v>96</v>
      </c>
      <c r="E70" s="31"/>
      <c r="F70" s="31"/>
      <c r="G70" s="31"/>
      <c r="H70" s="31"/>
      <c r="I70" s="9"/>
      <c r="J70" s="31"/>
      <c r="K70" s="34">
        <v>0</v>
      </c>
      <c r="L70" s="34">
        <v>0.5</v>
      </c>
      <c r="M70" s="34">
        <v>0.7</v>
      </c>
      <c r="N70" s="34">
        <v>0.7</v>
      </c>
      <c r="O70" s="34">
        <v>1</v>
      </c>
      <c r="P70" s="31"/>
      <c r="Q70" s="31"/>
      <c r="R70" s="31"/>
    </row>
    <row r="71" spans="1:18" s="5" customFormat="1" ht="30" x14ac:dyDescent="0.35">
      <c r="A71" s="8">
        <f>MAX($A$10:A70,0)+1</f>
        <v>54</v>
      </c>
      <c r="B71" s="8"/>
      <c r="C71" s="10" t="s">
        <v>106</v>
      </c>
      <c r="D71" s="45" t="s">
        <v>96</v>
      </c>
      <c r="E71" s="31"/>
      <c r="F71" s="31"/>
      <c r="G71" s="31"/>
      <c r="H71" s="31"/>
      <c r="I71" s="9"/>
      <c r="J71" s="31"/>
      <c r="K71" s="34">
        <v>0.5</v>
      </c>
      <c r="L71" s="34">
        <v>0.7</v>
      </c>
      <c r="M71" s="34">
        <v>1</v>
      </c>
      <c r="N71" s="31"/>
      <c r="O71" s="31"/>
      <c r="P71" s="31"/>
      <c r="Q71" s="31"/>
      <c r="R71" s="31"/>
    </row>
    <row r="72" spans="1:18" s="5" customFormat="1" ht="50" x14ac:dyDescent="0.35">
      <c r="A72" s="8">
        <f>MAX($A$10:A71,0)+1</f>
        <v>55</v>
      </c>
      <c r="B72" s="8"/>
      <c r="C72" s="10" t="s">
        <v>107</v>
      </c>
      <c r="D72" s="45" t="s">
        <v>96</v>
      </c>
      <c r="E72" s="31"/>
      <c r="F72" s="31"/>
      <c r="G72" s="31"/>
      <c r="H72" s="31"/>
      <c r="I72" s="9"/>
      <c r="J72" s="31"/>
      <c r="K72" s="34">
        <v>0.7</v>
      </c>
      <c r="L72" s="34">
        <v>1</v>
      </c>
      <c r="M72" s="31"/>
      <c r="N72" s="31"/>
      <c r="O72" s="31"/>
      <c r="P72" s="31"/>
      <c r="Q72" s="31"/>
      <c r="R72" s="31"/>
    </row>
    <row r="73" spans="1:18" s="5" customFormat="1" ht="40" x14ac:dyDescent="0.35">
      <c r="A73" s="8">
        <f>MAX($A$10:A72,0)+1</f>
        <v>56</v>
      </c>
      <c r="B73" s="8"/>
      <c r="C73" s="10" t="s">
        <v>108</v>
      </c>
      <c r="D73" s="45" t="s">
        <v>96</v>
      </c>
      <c r="E73" s="31"/>
      <c r="F73" s="31"/>
      <c r="G73" s="31"/>
      <c r="H73" s="31"/>
      <c r="I73" s="9"/>
      <c r="J73" s="31"/>
      <c r="K73" s="34">
        <v>0</v>
      </c>
      <c r="L73" s="34">
        <v>0.7</v>
      </c>
      <c r="M73" s="34">
        <v>1</v>
      </c>
      <c r="N73" s="31"/>
      <c r="O73" s="31"/>
      <c r="P73" s="31"/>
      <c r="Q73" s="31"/>
      <c r="R73" s="31"/>
    </row>
    <row r="74" spans="1:18" s="5" customFormat="1" ht="40" x14ac:dyDescent="0.35">
      <c r="A74" s="8">
        <f>MAX($A$10:A73,0)+1</f>
        <v>57</v>
      </c>
      <c r="B74" s="8"/>
      <c r="C74" s="10" t="s">
        <v>109</v>
      </c>
      <c r="D74" s="45" t="s">
        <v>96</v>
      </c>
      <c r="E74" s="31"/>
      <c r="F74" s="31"/>
      <c r="G74" s="31"/>
      <c r="H74" s="31"/>
      <c r="I74" s="9"/>
      <c r="J74" s="31"/>
      <c r="K74" s="34">
        <v>0.7</v>
      </c>
      <c r="L74" s="34">
        <v>1</v>
      </c>
      <c r="M74" s="31"/>
      <c r="N74" s="31"/>
      <c r="O74" s="31"/>
      <c r="P74" s="31"/>
      <c r="Q74" s="31"/>
      <c r="R74" s="31"/>
    </row>
    <row r="75" spans="1:18" s="5" customFormat="1" ht="50" x14ac:dyDescent="0.35">
      <c r="A75" s="8">
        <f>MAX($A$10:A74,0)+1</f>
        <v>58</v>
      </c>
      <c r="B75" s="8"/>
      <c r="C75" s="10" t="s">
        <v>110</v>
      </c>
      <c r="D75" s="45" t="s">
        <v>96</v>
      </c>
      <c r="E75" s="31"/>
      <c r="F75" s="31"/>
      <c r="G75" s="31"/>
      <c r="H75" s="31"/>
      <c r="I75" s="9"/>
      <c r="J75" s="31"/>
      <c r="K75" s="34">
        <v>0.7</v>
      </c>
      <c r="L75" s="34">
        <v>1</v>
      </c>
      <c r="M75" s="31"/>
      <c r="N75" s="31"/>
      <c r="O75" s="31"/>
      <c r="P75" s="31"/>
      <c r="Q75" s="31"/>
      <c r="R75" s="31"/>
    </row>
    <row r="76" spans="1:18" s="5" customFormat="1" ht="40" x14ac:dyDescent="0.35">
      <c r="A76" s="8">
        <f>MAX($A$10:A75,0)+1</f>
        <v>59</v>
      </c>
      <c r="B76" s="8"/>
      <c r="C76" s="10" t="s">
        <v>111</v>
      </c>
      <c r="D76" s="45" t="s">
        <v>96</v>
      </c>
      <c r="E76" s="31"/>
      <c r="F76" s="31"/>
      <c r="G76" s="31"/>
      <c r="H76" s="31"/>
      <c r="I76" s="9"/>
      <c r="J76" s="31"/>
      <c r="K76" s="34">
        <v>0.5</v>
      </c>
      <c r="L76" s="34">
        <v>0.7</v>
      </c>
      <c r="M76" s="34">
        <v>1</v>
      </c>
      <c r="N76" s="31"/>
      <c r="O76" s="31"/>
      <c r="P76" s="31"/>
      <c r="Q76" s="31"/>
      <c r="R76" s="31"/>
    </row>
    <row r="77" spans="1:18" s="5" customFormat="1" ht="40" x14ac:dyDescent="0.35">
      <c r="A77" s="8">
        <f>MAX($A$10:A76,0)+1</f>
        <v>60</v>
      </c>
      <c r="B77" s="8"/>
      <c r="C77" s="10" t="s">
        <v>112</v>
      </c>
      <c r="D77" s="45" t="s">
        <v>103</v>
      </c>
      <c r="E77" s="31"/>
      <c r="F77" s="31"/>
      <c r="G77" s="31"/>
      <c r="H77" s="31"/>
      <c r="I77" s="9"/>
      <c r="J77" s="31"/>
      <c r="K77" s="29"/>
      <c r="L77" s="29"/>
      <c r="M77" s="29"/>
      <c r="N77" s="29"/>
      <c r="O77" s="29"/>
      <c r="P77" s="29"/>
      <c r="Q77" s="29"/>
      <c r="R77" s="29"/>
    </row>
    <row r="78" spans="1:18" s="5" customFormat="1" ht="40" x14ac:dyDescent="0.35">
      <c r="A78" s="8">
        <f>MAX($A$10:A77,0)+1</f>
        <v>61</v>
      </c>
      <c r="B78" s="8"/>
      <c r="C78" s="10" t="s">
        <v>113</v>
      </c>
      <c r="D78" s="45" t="s">
        <v>96</v>
      </c>
      <c r="E78" s="31"/>
      <c r="F78" s="31"/>
      <c r="G78" s="31"/>
      <c r="H78" s="31"/>
      <c r="I78" s="9"/>
      <c r="J78" s="31"/>
      <c r="K78" s="34">
        <v>0.5</v>
      </c>
      <c r="L78" s="34">
        <v>0.7</v>
      </c>
      <c r="M78" s="34">
        <v>1</v>
      </c>
      <c r="N78" s="31"/>
      <c r="O78" s="31"/>
      <c r="P78" s="31"/>
      <c r="Q78" s="31"/>
      <c r="R78" s="31"/>
    </row>
    <row r="79" spans="1:18" s="5" customFormat="1" ht="40" x14ac:dyDescent="0.35">
      <c r="A79" s="8">
        <f>MAX($A$10:A78,0)+1</f>
        <v>62</v>
      </c>
      <c r="B79" s="8"/>
      <c r="C79" s="10" t="s">
        <v>114</v>
      </c>
      <c r="D79" s="45" t="s">
        <v>96</v>
      </c>
      <c r="E79" s="31"/>
      <c r="F79" s="31"/>
      <c r="G79" s="31"/>
      <c r="H79" s="31"/>
      <c r="I79" s="9"/>
      <c r="J79" s="31"/>
      <c r="K79" s="34">
        <v>0</v>
      </c>
      <c r="L79" s="34">
        <v>0.7</v>
      </c>
      <c r="M79" s="34">
        <v>1</v>
      </c>
      <c r="N79" s="31"/>
      <c r="O79" s="31"/>
      <c r="P79" s="31"/>
      <c r="Q79" s="31"/>
      <c r="R79" s="31"/>
    </row>
    <row r="80" spans="1:18" s="5" customFormat="1" ht="50" x14ac:dyDescent="0.35">
      <c r="A80" s="8">
        <f>MAX($A$10:A79,0)+1</f>
        <v>63</v>
      </c>
      <c r="B80" s="8"/>
      <c r="C80" s="10" t="s">
        <v>115</v>
      </c>
      <c r="D80" s="45" t="s">
        <v>96</v>
      </c>
      <c r="E80" s="31"/>
      <c r="F80" s="31"/>
      <c r="G80" s="31"/>
      <c r="H80" s="31"/>
      <c r="I80" s="9"/>
      <c r="J80" s="31"/>
      <c r="K80" s="34">
        <v>0.7</v>
      </c>
      <c r="L80" s="34">
        <v>0.7</v>
      </c>
      <c r="M80" s="34">
        <v>1</v>
      </c>
      <c r="N80" s="31"/>
      <c r="O80" s="31"/>
      <c r="P80" s="31"/>
      <c r="Q80" s="31"/>
      <c r="R80" s="31"/>
    </row>
    <row r="81" spans="1:18" s="5" customFormat="1" ht="30" x14ac:dyDescent="0.35">
      <c r="A81" s="8">
        <f>MAX($A$10:A80,0)+1</f>
        <v>64</v>
      </c>
      <c r="B81" s="8"/>
      <c r="C81" s="10" t="s">
        <v>116</v>
      </c>
      <c r="D81" s="45" t="s">
        <v>96</v>
      </c>
      <c r="E81" s="31"/>
      <c r="F81" s="31"/>
      <c r="G81" s="31"/>
      <c r="H81" s="31"/>
      <c r="I81" s="9"/>
      <c r="J81" s="31"/>
      <c r="K81" s="34">
        <v>0.7</v>
      </c>
      <c r="L81" s="34">
        <v>1</v>
      </c>
      <c r="M81" s="31"/>
      <c r="N81" s="31"/>
      <c r="O81" s="31"/>
      <c r="P81" s="31"/>
      <c r="Q81" s="31"/>
      <c r="R81" s="31"/>
    </row>
    <row r="82" spans="1:18" s="5" customFormat="1" ht="30" x14ac:dyDescent="0.35">
      <c r="A82" s="8">
        <f>MAX($A$10:A81,0)+1</f>
        <v>65</v>
      </c>
      <c r="B82" s="8"/>
      <c r="C82" s="10" t="s">
        <v>117</v>
      </c>
      <c r="D82" s="45" t="s">
        <v>96</v>
      </c>
      <c r="E82" s="31"/>
      <c r="F82" s="31"/>
      <c r="G82" s="31"/>
      <c r="H82" s="31"/>
      <c r="I82" s="9"/>
      <c r="J82" s="31"/>
      <c r="K82" s="34">
        <v>0.7</v>
      </c>
      <c r="L82" s="34">
        <v>1</v>
      </c>
      <c r="M82" s="31"/>
      <c r="N82" s="31"/>
      <c r="O82" s="31"/>
      <c r="P82" s="31"/>
      <c r="Q82" s="31"/>
      <c r="R82" s="31"/>
    </row>
    <row r="83" spans="1:18" s="5" customFormat="1" ht="40" x14ac:dyDescent="0.35">
      <c r="A83" s="8">
        <f>MAX($A$10:A82,0)+1</f>
        <v>66</v>
      </c>
      <c r="B83" s="8"/>
      <c r="C83" s="10" t="s">
        <v>118</v>
      </c>
      <c r="D83" s="45" t="s">
        <v>96</v>
      </c>
      <c r="E83" s="31"/>
      <c r="F83" s="31"/>
      <c r="G83" s="31"/>
      <c r="H83" s="31"/>
      <c r="I83" s="9"/>
      <c r="J83" s="31"/>
      <c r="K83" s="34">
        <v>0.7</v>
      </c>
      <c r="L83" s="34">
        <v>1</v>
      </c>
      <c r="M83" s="31"/>
      <c r="N83" s="31"/>
      <c r="O83" s="31"/>
      <c r="P83" s="31"/>
      <c r="Q83" s="31"/>
      <c r="R83" s="31"/>
    </row>
    <row r="84" spans="1:18" s="5" customFormat="1" ht="30" x14ac:dyDescent="0.35">
      <c r="A84" s="8">
        <f>MAX($A$10:A83,0)+1</f>
        <v>67</v>
      </c>
      <c r="B84" s="8"/>
      <c r="C84" s="10" t="s">
        <v>119</v>
      </c>
      <c r="D84" s="45" t="s">
        <v>96</v>
      </c>
      <c r="E84" s="31"/>
      <c r="F84" s="31"/>
      <c r="G84" s="31"/>
      <c r="H84" s="31"/>
      <c r="I84" s="9"/>
      <c r="J84" s="31"/>
      <c r="K84" s="34">
        <v>0.7</v>
      </c>
      <c r="L84" s="34">
        <v>1</v>
      </c>
      <c r="M84" s="31"/>
      <c r="N84" s="31"/>
      <c r="O84" s="31"/>
      <c r="P84" s="31"/>
      <c r="Q84" s="31"/>
      <c r="R84" s="31"/>
    </row>
    <row r="85" spans="1:18" s="5" customFormat="1" ht="30" x14ac:dyDescent="0.35">
      <c r="A85" s="8">
        <f>MAX($A$10:A84,0)+1</f>
        <v>68</v>
      </c>
      <c r="B85" s="8"/>
      <c r="C85" s="10" t="s">
        <v>120</v>
      </c>
      <c r="D85" s="45" t="s">
        <v>96</v>
      </c>
      <c r="E85" s="31"/>
      <c r="F85" s="31"/>
      <c r="G85" s="31"/>
      <c r="H85" s="31"/>
      <c r="I85" s="9"/>
      <c r="J85" s="31"/>
      <c r="K85" s="34">
        <v>0.7</v>
      </c>
      <c r="L85" s="34">
        <v>0.7</v>
      </c>
      <c r="M85" s="34">
        <v>1</v>
      </c>
      <c r="N85" s="31"/>
      <c r="O85" s="31"/>
      <c r="P85" s="31"/>
      <c r="Q85" s="31"/>
      <c r="R85" s="31"/>
    </row>
    <row r="86" spans="1:18" s="5" customFormat="1" ht="10.5" x14ac:dyDescent="0.35">
      <c r="A86" s="22"/>
      <c r="B86" s="26" t="s">
        <v>121</v>
      </c>
      <c r="C86" s="24"/>
      <c r="D86" s="24"/>
      <c r="E86" s="29"/>
      <c r="F86" s="29"/>
      <c r="G86" s="29"/>
      <c r="H86" s="29"/>
      <c r="I86" s="25"/>
      <c r="J86" s="29"/>
      <c r="K86" s="29"/>
      <c r="L86" s="29"/>
      <c r="M86" s="29"/>
      <c r="N86" s="29"/>
      <c r="O86" s="29"/>
      <c r="P86" s="29"/>
      <c r="Q86" s="29"/>
      <c r="R86" s="29"/>
    </row>
    <row r="87" spans="1:18" s="5" customFormat="1" ht="20" x14ac:dyDescent="0.35">
      <c r="A87" s="8">
        <f>MAX($A$10:A86,0)+1</f>
        <v>69</v>
      </c>
      <c r="B87" s="8"/>
      <c r="C87" s="10" t="s">
        <v>122</v>
      </c>
      <c r="D87" s="45" t="s">
        <v>123</v>
      </c>
      <c r="E87" s="31"/>
      <c r="F87" s="31"/>
      <c r="G87" s="31"/>
      <c r="H87" s="31"/>
      <c r="I87" s="9"/>
      <c r="J87" s="31"/>
      <c r="K87" s="31"/>
      <c r="L87" s="31"/>
      <c r="M87" s="34">
        <v>1</v>
      </c>
      <c r="N87" s="31"/>
      <c r="O87" s="31"/>
      <c r="P87" s="31"/>
      <c r="Q87" s="31"/>
      <c r="R87" s="31"/>
    </row>
    <row r="88" spans="1:18" s="5" customFormat="1" ht="20" x14ac:dyDescent="0.35">
      <c r="A88" s="8">
        <f>MAX($A$10:A87,0)+1</f>
        <v>70</v>
      </c>
      <c r="B88" s="8"/>
      <c r="C88" s="10" t="s">
        <v>124</v>
      </c>
      <c r="D88" s="45" t="s">
        <v>123</v>
      </c>
      <c r="E88" s="31"/>
      <c r="F88" s="31"/>
      <c r="G88" s="31"/>
      <c r="H88" s="31"/>
      <c r="I88" s="9"/>
      <c r="J88" s="31"/>
      <c r="K88" s="31"/>
      <c r="L88" s="31"/>
      <c r="M88" s="34">
        <v>1</v>
      </c>
      <c r="N88" s="31"/>
      <c r="O88" s="31"/>
      <c r="P88" s="31"/>
      <c r="Q88" s="31"/>
      <c r="R88" s="31"/>
    </row>
    <row r="89" spans="1:18" s="5" customFormat="1" ht="20" x14ac:dyDescent="0.35">
      <c r="A89" s="8">
        <f>MAX($A$10:A88,0)+1</f>
        <v>71</v>
      </c>
      <c r="B89" s="8"/>
      <c r="C89" s="10" t="s">
        <v>125</v>
      </c>
      <c r="D89" s="45" t="s">
        <v>123</v>
      </c>
      <c r="E89" s="31"/>
      <c r="F89" s="31"/>
      <c r="G89" s="31"/>
      <c r="H89" s="31"/>
      <c r="I89" s="9"/>
      <c r="J89" s="31"/>
      <c r="K89" s="31"/>
      <c r="L89" s="31"/>
      <c r="M89" s="34">
        <v>1</v>
      </c>
      <c r="N89" s="31"/>
      <c r="O89" s="31"/>
      <c r="P89" s="31"/>
      <c r="Q89" s="31"/>
      <c r="R89" s="31"/>
    </row>
    <row r="90" spans="1:18" s="5" customFormat="1" ht="20" x14ac:dyDescent="0.35">
      <c r="A90" s="8">
        <f>MAX($A$10:A89,0)+1</f>
        <v>72</v>
      </c>
      <c r="B90" s="8"/>
      <c r="C90" s="10" t="s">
        <v>126</v>
      </c>
      <c r="D90" s="45" t="s">
        <v>123</v>
      </c>
      <c r="E90" s="31"/>
      <c r="F90" s="31"/>
      <c r="G90" s="31"/>
      <c r="H90" s="31"/>
      <c r="I90" s="9"/>
      <c r="J90" s="31"/>
      <c r="K90" s="31"/>
      <c r="L90" s="31"/>
      <c r="M90" s="34">
        <v>1</v>
      </c>
      <c r="N90" s="31"/>
      <c r="O90" s="31"/>
      <c r="P90" s="31"/>
      <c r="Q90" s="31"/>
      <c r="R90" s="31"/>
    </row>
    <row r="91" spans="1:18" s="5" customFormat="1" ht="20" x14ac:dyDescent="0.35">
      <c r="A91" s="8">
        <f>MAX($A$10:A90,0)+1</f>
        <v>73</v>
      </c>
      <c r="B91" s="8"/>
      <c r="C91" s="10" t="s">
        <v>127</v>
      </c>
      <c r="D91" s="45" t="s">
        <v>123</v>
      </c>
      <c r="E91" s="31"/>
      <c r="F91" s="31"/>
      <c r="G91" s="31"/>
      <c r="H91" s="31"/>
      <c r="I91" s="9"/>
      <c r="J91" s="31"/>
      <c r="K91" s="31"/>
      <c r="L91" s="31"/>
      <c r="M91" s="34">
        <v>1</v>
      </c>
      <c r="N91" s="31"/>
      <c r="O91" s="31"/>
      <c r="P91" s="31"/>
      <c r="Q91" s="31"/>
      <c r="R91" s="31"/>
    </row>
    <row r="92" spans="1:18" s="5" customFormat="1" ht="20" x14ac:dyDescent="0.35">
      <c r="A92" s="8">
        <f>MAX($A$10:A91,0)+1</f>
        <v>74</v>
      </c>
      <c r="B92" s="8"/>
      <c r="C92" s="10" t="s">
        <v>128</v>
      </c>
      <c r="D92" s="45" t="s">
        <v>123</v>
      </c>
      <c r="E92" s="31"/>
      <c r="F92" s="31"/>
      <c r="G92" s="31"/>
      <c r="H92" s="31"/>
      <c r="I92" s="9"/>
      <c r="J92" s="31"/>
      <c r="K92" s="31"/>
      <c r="L92" s="31"/>
      <c r="M92" s="34">
        <v>1</v>
      </c>
      <c r="N92" s="31"/>
      <c r="O92" s="31"/>
      <c r="P92" s="31"/>
      <c r="Q92" s="31"/>
      <c r="R92" s="31"/>
    </row>
    <row r="93" spans="1:18" s="5" customFormat="1" ht="10.5" x14ac:dyDescent="0.35">
      <c r="A93" s="22"/>
      <c r="B93" s="26" t="s">
        <v>129</v>
      </c>
      <c r="C93" s="24"/>
      <c r="D93" s="24"/>
      <c r="E93" s="29"/>
      <c r="F93" s="29"/>
      <c r="G93" s="29"/>
      <c r="H93" s="29"/>
      <c r="I93" s="25"/>
      <c r="J93" s="29"/>
      <c r="K93" s="29"/>
      <c r="L93" s="29"/>
      <c r="M93" s="29"/>
      <c r="N93" s="29"/>
      <c r="O93" s="29"/>
      <c r="P93" s="29"/>
      <c r="Q93" s="29"/>
      <c r="R93" s="29"/>
    </row>
    <row r="94" spans="1:18" s="5" customFormat="1" ht="20" x14ac:dyDescent="0.35">
      <c r="A94" s="8">
        <f>MAX($A$10:A93,0)+1</f>
        <v>75</v>
      </c>
      <c r="B94" s="8"/>
      <c r="C94" s="10" t="s">
        <v>130</v>
      </c>
      <c r="D94" s="45" t="s">
        <v>131</v>
      </c>
      <c r="E94" s="31"/>
      <c r="F94" s="31"/>
      <c r="G94" s="31"/>
      <c r="H94" s="31"/>
      <c r="I94" s="9"/>
      <c r="J94" s="31"/>
      <c r="K94" s="31"/>
      <c r="L94" s="31"/>
      <c r="M94" s="31"/>
      <c r="N94" s="34">
        <v>1</v>
      </c>
      <c r="O94" s="61"/>
      <c r="P94" s="31"/>
      <c r="Q94" s="31"/>
      <c r="R94" s="31"/>
    </row>
    <row r="95" spans="1:18" s="5" customFormat="1" ht="30" x14ac:dyDescent="0.35">
      <c r="A95" s="8">
        <f>MAX($A$10:A94,0)+1</f>
        <v>76</v>
      </c>
      <c r="B95" s="8"/>
      <c r="C95" s="10" t="s">
        <v>132</v>
      </c>
      <c r="D95" s="45" t="s">
        <v>131</v>
      </c>
      <c r="E95" s="31"/>
      <c r="F95" s="31"/>
      <c r="G95" s="31"/>
      <c r="H95" s="31"/>
      <c r="I95" s="9"/>
      <c r="J95" s="31"/>
      <c r="K95" s="31"/>
      <c r="L95" s="31"/>
      <c r="M95" s="27"/>
      <c r="N95" s="34">
        <v>1</v>
      </c>
      <c r="O95" s="61"/>
      <c r="P95" s="31"/>
      <c r="Q95" s="31"/>
      <c r="R95" s="31"/>
    </row>
    <row r="96" spans="1:18" s="5" customFormat="1" ht="30" x14ac:dyDescent="0.35">
      <c r="A96" s="8">
        <f>MAX($A$10:A95,0)+1</f>
        <v>77</v>
      </c>
      <c r="B96" s="8"/>
      <c r="C96" s="10" t="s">
        <v>133</v>
      </c>
      <c r="D96" s="45" t="s">
        <v>131</v>
      </c>
      <c r="E96" s="31"/>
      <c r="F96" s="31"/>
      <c r="G96" s="31"/>
      <c r="H96" s="31"/>
      <c r="I96" s="9"/>
      <c r="J96" s="31"/>
      <c r="K96" s="31"/>
      <c r="L96" s="31"/>
      <c r="M96" s="27"/>
      <c r="N96" s="34">
        <v>0.8</v>
      </c>
      <c r="O96" s="34">
        <v>1</v>
      </c>
      <c r="P96" s="31"/>
      <c r="Q96" s="31"/>
      <c r="R96" s="31"/>
    </row>
    <row r="97" spans="1:18" s="5" customFormat="1" ht="30" x14ac:dyDescent="0.35">
      <c r="A97" s="8">
        <f>MAX($A$10:A96,0)+1</f>
        <v>78</v>
      </c>
      <c r="B97" s="8"/>
      <c r="C97" s="10" t="s">
        <v>134</v>
      </c>
      <c r="D97" s="45" t="s">
        <v>131</v>
      </c>
      <c r="E97" s="31"/>
      <c r="F97" s="31"/>
      <c r="G97" s="31"/>
      <c r="H97" s="31"/>
      <c r="I97" s="9"/>
      <c r="J97" s="31"/>
      <c r="K97" s="31"/>
      <c r="L97" s="31"/>
      <c r="M97" s="27"/>
      <c r="N97" s="34">
        <v>0.8</v>
      </c>
      <c r="O97" s="34">
        <v>1</v>
      </c>
      <c r="P97" s="31"/>
      <c r="Q97" s="31"/>
      <c r="R97" s="31"/>
    </row>
    <row r="98" spans="1:18" s="5" customFormat="1" ht="30" x14ac:dyDescent="0.35">
      <c r="A98" s="8">
        <f>MAX($A$10:A97,0)+1</f>
        <v>79</v>
      </c>
      <c r="B98" s="8"/>
      <c r="C98" s="10" t="s">
        <v>135</v>
      </c>
      <c r="D98" s="45" t="s">
        <v>131</v>
      </c>
      <c r="E98" s="31"/>
      <c r="F98" s="31"/>
      <c r="G98" s="31"/>
      <c r="H98" s="31"/>
      <c r="I98" s="9"/>
      <c r="J98" s="31"/>
      <c r="K98" s="31"/>
      <c r="L98" s="31"/>
      <c r="M98" s="27"/>
      <c r="N98" s="34">
        <v>1</v>
      </c>
      <c r="O98" s="61"/>
      <c r="P98" s="31"/>
      <c r="Q98" s="31"/>
      <c r="R98" s="31"/>
    </row>
    <row r="99" spans="1:18" s="5" customFormat="1" ht="40" x14ac:dyDescent="0.35">
      <c r="A99" s="8">
        <f>MAX($A$10:A98,0)+1</f>
        <v>80</v>
      </c>
      <c r="B99" s="8"/>
      <c r="C99" s="10" t="s">
        <v>136</v>
      </c>
      <c r="D99" s="45" t="s">
        <v>131</v>
      </c>
      <c r="E99" s="31"/>
      <c r="F99" s="31"/>
      <c r="G99" s="31"/>
      <c r="H99" s="31"/>
      <c r="I99" s="9"/>
      <c r="J99" s="31"/>
      <c r="K99" s="31"/>
      <c r="L99" s="31"/>
      <c r="M99" s="27"/>
      <c r="N99" s="34">
        <v>1</v>
      </c>
      <c r="O99" s="61"/>
      <c r="P99" s="31"/>
      <c r="Q99" s="31"/>
      <c r="R99" s="31"/>
    </row>
    <row r="100" spans="1:18" s="5" customFormat="1" ht="40" x14ac:dyDescent="0.35">
      <c r="A100" s="8">
        <f>MAX($A$10:A99,0)+1</f>
        <v>81</v>
      </c>
      <c r="B100" s="8"/>
      <c r="C100" s="10" t="s">
        <v>137</v>
      </c>
      <c r="D100" s="45" t="s">
        <v>131</v>
      </c>
      <c r="E100" s="31"/>
      <c r="F100" s="31"/>
      <c r="G100" s="31"/>
      <c r="H100" s="31"/>
      <c r="I100" s="9"/>
      <c r="J100" s="31"/>
      <c r="K100" s="31"/>
      <c r="L100" s="31"/>
      <c r="M100" s="27"/>
      <c r="N100" s="34">
        <v>1</v>
      </c>
      <c r="O100" s="61"/>
      <c r="P100" s="31"/>
      <c r="Q100" s="31"/>
      <c r="R100" s="31"/>
    </row>
    <row r="101" spans="1:18" s="5" customFormat="1" ht="30" x14ac:dyDescent="0.35">
      <c r="A101" s="8">
        <f>MAX($A$10:A100,0)+1</f>
        <v>82</v>
      </c>
      <c r="B101" s="8"/>
      <c r="C101" s="10" t="s">
        <v>138</v>
      </c>
      <c r="D101" s="45" t="s">
        <v>131</v>
      </c>
      <c r="E101" s="31"/>
      <c r="F101" s="31"/>
      <c r="G101" s="31"/>
      <c r="H101" s="31"/>
      <c r="I101" s="9"/>
      <c r="J101" s="31"/>
      <c r="K101" s="31"/>
      <c r="L101" s="31"/>
      <c r="M101" s="27"/>
      <c r="N101" s="34">
        <v>0.8</v>
      </c>
      <c r="O101" s="34">
        <v>1</v>
      </c>
      <c r="P101" s="31"/>
      <c r="Q101" s="31"/>
      <c r="R101" s="31"/>
    </row>
    <row r="102" spans="1:18" s="5" customFormat="1" ht="50" x14ac:dyDescent="0.35">
      <c r="A102" s="8">
        <f>MAX($A$10:A101,0)+1</f>
        <v>83</v>
      </c>
      <c r="B102" s="8"/>
      <c r="C102" s="10" t="s">
        <v>139</v>
      </c>
      <c r="D102" s="45" t="s">
        <v>131</v>
      </c>
      <c r="E102" s="31"/>
      <c r="F102" s="31"/>
      <c r="G102" s="31"/>
      <c r="H102" s="31"/>
      <c r="I102" s="9"/>
      <c r="J102" s="31"/>
      <c r="K102" s="31"/>
      <c r="L102" s="31"/>
      <c r="M102" s="27"/>
      <c r="N102" s="34">
        <v>0.8</v>
      </c>
      <c r="O102" s="34">
        <v>1</v>
      </c>
      <c r="P102" s="31"/>
      <c r="Q102" s="31"/>
      <c r="R102" s="31"/>
    </row>
    <row r="103" spans="1:18" s="5" customFormat="1" ht="30" x14ac:dyDescent="0.35">
      <c r="A103" s="8">
        <f>MAX($A$10:A102,0)+1</f>
        <v>84</v>
      </c>
      <c r="B103" s="8"/>
      <c r="C103" s="10" t="s">
        <v>140</v>
      </c>
      <c r="D103" s="45" t="s">
        <v>131</v>
      </c>
      <c r="E103" s="31"/>
      <c r="F103" s="31"/>
      <c r="G103" s="31"/>
      <c r="H103" s="31"/>
      <c r="I103" s="9"/>
      <c r="J103" s="31"/>
      <c r="K103" s="31"/>
      <c r="L103" s="31"/>
      <c r="M103" s="27"/>
      <c r="N103" s="34">
        <v>0.8</v>
      </c>
      <c r="O103" s="34">
        <v>1</v>
      </c>
      <c r="P103" s="31"/>
      <c r="Q103" s="31"/>
      <c r="R103" s="31"/>
    </row>
    <row r="104" spans="1:18" s="5" customFormat="1" ht="50" x14ac:dyDescent="0.35">
      <c r="A104" s="8">
        <f>MAX($A$10:A103,0)+1</f>
        <v>85</v>
      </c>
      <c r="B104" s="8"/>
      <c r="C104" s="10" t="s">
        <v>141</v>
      </c>
      <c r="D104" s="45" t="s">
        <v>131</v>
      </c>
      <c r="E104" s="31"/>
      <c r="F104" s="31"/>
      <c r="G104" s="31"/>
      <c r="H104" s="31"/>
      <c r="I104" s="9"/>
      <c r="J104" s="31"/>
      <c r="K104" s="31"/>
      <c r="L104" s="31"/>
      <c r="M104" s="27"/>
      <c r="N104" s="34">
        <v>0.8</v>
      </c>
      <c r="O104" s="34">
        <v>1</v>
      </c>
      <c r="P104" s="31"/>
      <c r="Q104" s="31"/>
      <c r="R104" s="31"/>
    </row>
    <row r="105" spans="1:18" s="5" customFormat="1" ht="30" x14ac:dyDescent="0.35">
      <c r="A105" s="8">
        <f>MAX($A$10:A104,0)+1</f>
        <v>86</v>
      </c>
      <c r="B105" s="8"/>
      <c r="C105" s="10" t="s">
        <v>142</v>
      </c>
      <c r="D105" s="45" t="s">
        <v>131</v>
      </c>
      <c r="E105" s="31"/>
      <c r="F105" s="31"/>
      <c r="G105" s="31"/>
      <c r="H105" s="31"/>
      <c r="I105" s="9"/>
      <c r="J105" s="31"/>
      <c r="K105" s="31"/>
      <c r="L105" s="31"/>
      <c r="M105" s="27"/>
      <c r="N105" s="34">
        <v>0.8</v>
      </c>
      <c r="O105" s="34">
        <v>1</v>
      </c>
      <c r="P105" s="31"/>
      <c r="Q105" s="31"/>
      <c r="R105" s="31"/>
    </row>
    <row r="106" spans="1:18" s="5" customFormat="1" ht="30" x14ac:dyDescent="0.35">
      <c r="A106" s="8">
        <f>MAX($A$10:A105,0)+1</f>
        <v>87</v>
      </c>
      <c r="B106" s="8"/>
      <c r="C106" s="10" t="s">
        <v>143</v>
      </c>
      <c r="D106" s="45" t="s">
        <v>131</v>
      </c>
      <c r="E106" s="31"/>
      <c r="F106" s="31"/>
      <c r="G106" s="31"/>
      <c r="H106" s="31"/>
      <c r="I106" s="9"/>
      <c r="J106" s="31"/>
      <c r="K106" s="31"/>
      <c r="L106" s="31"/>
      <c r="M106" s="27"/>
      <c r="N106" s="34">
        <v>0.8</v>
      </c>
      <c r="O106" s="34">
        <v>1</v>
      </c>
      <c r="P106" s="31"/>
      <c r="Q106" s="31"/>
      <c r="R106" s="31"/>
    </row>
    <row r="107" spans="1:18" s="5" customFormat="1" ht="30" x14ac:dyDescent="0.35">
      <c r="A107" s="8">
        <f>MAX($A$10:A106,0)+1</f>
        <v>88</v>
      </c>
      <c r="B107" s="8"/>
      <c r="C107" s="10" t="s">
        <v>144</v>
      </c>
      <c r="D107" s="45" t="s">
        <v>131</v>
      </c>
      <c r="E107" s="31"/>
      <c r="F107" s="31"/>
      <c r="G107" s="31"/>
      <c r="H107" s="31"/>
      <c r="I107" s="9"/>
      <c r="J107" s="31"/>
      <c r="K107" s="31"/>
      <c r="L107" s="31"/>
      <c r="M107" s="27"/>
      <c r="N107" s="34">
        <v>0.8</v>
      </c>
      <c r="O107" s="34">
        <v>1</v>
      </c>
      <c r="P107" s="31"/>
      <c r="Q107" s="31"/>
      <c r="R107" s="31"/>
    </row>
    <row r="108" spans="1:18" s="5" customFormat="1" ht="30" x14ac:dyDescent="0.35">
      <c r="A108" s="8">
        <f>MAX($A$10:A107,0)+1</f>
        <v>89</v>
      </c>
      <c r="B108" s="8"/>
      <c r="C108" s="10" t="s">
        <v>145</v>
      </c>
      <c r="D108" s="45" t="s">
        <v>131</v>
      </c>
      <c r="E108" s="31"/>
      <c r="F108" s="31"/>
      <c r="G108" s="31"/>
      <c r="H108" s="31"/>
      <c r="I108" s="9"/>
      <c r="J108" s="31"/>
      <c r="K108" s="31"/>
      <c r="L108" s="31"/>
      <c r="M108" s="27"/>
      <c r="N108" s="34">
        <v>1</v>
      </c>
      <c r="O108" s="31"/>
      <c r="P108" s="31"/>
      <c r="Q108" s="31"/>
      <c r="R108" s="31"/>
    </row>
    <row r="109" spans="1:18" s="5" customFormat="1" ht="50" x14ac:dyDescent="0.35">
      <c r="A109" s="8">
        <f>MAX($A$10:A108,0)+1</f>
        <v>90</v>
      </c>
      <c r="B109" s="8"/>
      <c r="C109" s="10" t="s">
        <v>146</v>
      </c>
      <c r="D109" s="45" t="s">
        <v>131</v>
      </c>
      <c r="E109" s="31"/>
      <c r="F109" s="31"/>
      <c r="G109" s="31"/>
      <c r="H109" s="31"/>
      <c r="I109" s="9"/>
      <c r="J109" s="31"/>
      <c r="K109" s="31"/>
      <c r="L109" s="31"/>
      <c r="M109" s="27"/>
      <c r="N109" s="34">
        <v>0.8</v>
      </c>
      <c r="O109" s="34">
        <v>1</v>
      </c>
      <c r="P109" s="31"/>
      <c r="Q109" s="31"/>
      <c r="R109" s="31"/>
    </row>
    <row r="110" spans="1:18" s="5" customFormat="1" ht="30" x14ac:dyDescent="0.35">
      <c r="A110" s="8">
        <f>MAX($A$10:A109,0)+1</f>
        <v>91</v>
      </c>
      <c r="B110" s="8"/>
      <c r="C110" s="10" t="s">
        <v>147</v>
      </c>
      <c r="D110" s="45" t="s">
        <v>131</v>
      </c>
      <c r="E110" s="31"/>
      <c r="F110" s="31"/>
      <c r="G110" s="31"/>
      <c r="H110" s="31"/>
      <c r="I110" s="9"/>
      <c r="J110" s="31"/>
      <c r="K110" s="31"/>
      <c r="L110" s="31"/>
      <c r="M110" s="27"/>
      <c r="N110" s="34">
        <v>0.8</v>
      </c>
      <c r="O110" s="34">
        <v>1</v>
      </c>
      <c r="P110" s="31"/>
      <c r="Q110" s="31"/>
      <c r="R110" s="31"/>
    </row>
    <row r="111" spans="1:18" s="5" customFormat="1" ht="40" x14ac:dyDescent="0.35">
      <c r="A111" s="8">
        <f>MAX($A$10:A110,0)+1</f>
        <v>92</v>
      </c>
      <c r="B111" s="8"/>
      <c r="C111" s="10" t="s">
        <v>148</v>
      </c>
      <c r="D111" s="45" t="s">
        <v>131</v>
      </c>
      <c r="E111" s="31"/>
      <c r="F111" s="31"/>
      <c r="G111" s="31"/>
      <c r="H111" s="31"/>
      <c r="I111" s="9"/>
      <c r="J111" s="31"/>
      <c r="K111" s="31"/>
      <c r="L111" s="31"/>
      <c r="M111" s="27"/>
      <c r="N111" s="34">
        <v>0.7</v>
      </c>
      <c r="O111" s="34">
        <v>1</v>
      </c>
      <c r="P111" s="31"/>
      <c r="Q111" s="31"/>
      <c r="R111" s="31"/>
    </row>
    <row r="112" spans="1:18" s="5" customFormat="1" ht="50" x14ac:dyDescent="0.35">
      <c r="A112" s="8">
        <f>MAX($A$10:A111,0)+1</f>
        <v>93</v>
      </c>
      <c r="B112" s="8"/>
      <c r="C112" s="10" t="s">
        <v>149</v>
      </c>
      <c r="D112" s="45" t="s">
        <v>131</v>
      </c>
      <c r="E112" s="31"/>
      <c r="F112" s="31"/>
      <c r="G112" s="31"/>
      <c r="H112" s="31"/>
      <c r="I112" s="9"/>
      <c r="J112" s="31"/>
      <c r="K112" s="31"/>
      <c r="L112" s="31"/>
      <c r="M112" s="27"/>
      <c r="N112" s="34">
        <v>0.8</v>
      </c>
      <c r="O112" s="34">
        <v>1</v>
      </c>
      <c r="P112" s="31"/>
      <c r="Q112" s="31"/>
      <c r="R112" s="31"/>
    </row>
    <row r="113" spans="1:18" s="5" customFormat="1" ht="40" x14ac:dyDescent="0.35">
      <c r="A113" s="8">
        <f>MAX($A$10:A112,0)+1</f>
        <v>94</v>
      </c>
      <c r="B113" s="8"/>
      <c r="C113" s="10" t="s">
        <v>150</v>
      </c>
      <c r="D113" s="45" t="s">
        <v>131</v>
      </c>
      <c r="E113" s="31"/>
      <c r="F113" s="31"/>
      <c r="G113" s="31"/>
      <c r="H113" s="31"/>
      <c r="I113" s="9"/>
      <c r="J113" s="31"/>
      <c r="K113" s="31"/>
      <c r="L113" s="31"/>
      <c r="M113" s="27"/>
      <c r="N113" s="34">
        <v>0.8</v>
      </c>
      <c r="O113" s="34">
        <v>1</v>
      </c>
      <c r="P113" s="31"/>
      <c r="Q113" s="31"/>
      <c r="R113" s="31"/>
    </row>
    <row r="114" spans="1:18" s="5" customFormat="1" ht="40" x14ac:dyDescent="0.35">
      <c r="A114" s="8">
        <f>MAX($A$10:A113,0)+1</f>
        <v>95</v>
      </c>
      <c r="B114" s="8"/>
      <c r="C114" s="10" t="s">
        <v>151</v>
      </c>
      <c r="D114" s="45" t="s">
        <v>131</v>
      </c>
      <c r="E114" s="31"/>
      <c r="F114" s="31"/>
      <c r="G114" s="31"/>
      <c r="H114" s="31"/>
      <c r="I114" s="9"/>
      <c r="J114" s="31"/>
      <c r="K114" s="31"/>
      <c r="L114" s="31"/>
      <c r="M114" s="27"/>
      <c r="N114" s="34">
        <v>0.8</v>
      </c>
      <c r="O114" s="34">
        <v>1</v>
      </c>
      <c r="P114" s="31"/>
      <c r="Q114" s="31"/>
      <c r="R114" s="31"/>
    </row>
    <row r="115" spans="1:18" s="5" customFormat="1" ht="30" x14ac:dyDescent="0.35">
      <c r="A115" s="8">
        <f>MAX($A$10:A114,0)+1</f>
        <v>96</v>
      </c>
      <c r="B115" s="8"/>
      <c r="C115" s="10" t="s">
        <v>152</v>
      </c>
      <c r="D115" s="45" t="s">
        <v>131</v>
      </c>
      <c r="E115" s="31"/>
      <c r="F115" s="31"/>
      <c r="G115" s="31"/>
      <c r="H115" s="31"/>
      <c r="I115" s="9"/>
      <c r="J115" s="31"/>
      <c r="K115" s="31"/>
      <c r="L115" s="31"/>
      <c r="M115" s="27"/>
      <c r="N115" s="34">
        <v>1</v>
      </c>
      <c r="O115" s="34">
        <v>1</v>
      </c>
      <c r="P115" s="31"/>
      <c r="Q115" s="31"/>
      <c r="R115" s="31"/>
    </row>
    <row r="116" spans="1:18" s="5" customFormat="1" ht="40" x14ac:dyDescent="0.35">
      <c r="A116" s="8">
        <f>MAX($A$10:A115,0)+1</f>
        <v>97</v>
      </c>
      <c r="B116" s="8"/>
      <c r="C116" s="10" t="s">
        <v>153</v>
      </c>
      <c r="D116" s="45" t="s">
        <v>131</v>
      </c>
      <c r="E116" s="31"/>
      <c r="F116" s="31"/>
      <c r="G116" s="31"/>
      <c r="H116" s="31"/>
      <c r="I116" s="9"/>
      <c r="J116" s="31"/>
      <c r="K116" s="31"/>
      <c r="L116" s="31"/>
      <c r="M116" s="27"/>
      <c r="N116" s="34">
        <v>0.8</v>
      </c>
      <c r="O116" s="34">
        <v>1</v>
      </c>
      <c r="P116" s="31"/>
      <c r="Q116" s="31"/>
      <c r="R116" s="31"/>
    </row>
    <row r="117" spans="1:18" s="5" customFormat="1" ht="20" x14ac:dyDescent="0.35">
      <c r="A117" s="8">
        <f>MAX($A$10:A116,0)+1</f>
        <v>98</v>
      </c>
      <c r="B117" s="8"/>
      <c r="C117" s="10" t="s">
        <v>154</v>
      </c>
      <c r="D117" s="45" t="s">
        <v>131</v>
      </c>
      <c r="E117" s="31"/>
      <c r="F117" s="31"/>
      <c r="G117" s="31"/>
      <c r="H117" s="31"/>
      <c r="I117" s="9"/>
      <c r="J117" s="31"/>
      <c r="K117" s="31"/>
      <c r="L117" s="31"/>
      <c r="M117" s="27"/>
      <c r="N117" s="34">
        <v>0.8</v>
      </c>
      <c r="O117" s="34">
        <v>1</v>
      </c>
      <c r="P117" s="31"/>
      <c r="Q117" s="31"/>
      <c r="R117" s="31"/>
    </row>
    <row r="118" spans="1:18" s="5" customFormat="1" ht="30" x14ac:dyDescent="0.35">
      <c r="A118" s="8">
        <f>MAX($A$10:A117,0)+1</f>
        <v>99</v>
      </c>
      <c r="B118" s="8"/>
      <c r="C118" s="10" t="s">
        <v>155</v>
      </c>
      <c r="D118" s="45" t="s">
        <v>131</v>
      </c>
      <c r="E118" s="31"/>
      <c r="F118" s="31"/>
      <c r="G118" s="31"/>
      <c r="H118" s="31"/>
      <c r="I118" s="9"/>
      <c r="J118" s="31"/>
      <c r="K118" s="31"/>
      <c r="L118" s="31"/>
      <c r="M118" s="27"/>
      <c r="N118" s="34">
        <v>0.8</v>
      </c>
      <c r="O118" s="34">
        <v>1</v>
      </c>
      <c r="P118" s="31"/>
      <c r="Q118" s="31"/>
      <c r="R118" s="31"/>
    </row>
    <row r="119" spans="1:18" s="5" customFormat="1" ht="20" x14ac:dyDescent="0.35">
      <c r="A119" s="8">
        <f>MAX($A$10:A118,0)+1</f>
        <v>100</v>
      </c>
      <c r="B119" s="8"/>
      <c r="C119" s="10" t="s">
        <v>156</v>
      </c>
      <c r="D119" s="45" t="s">
        <v>131</v>
      </c>
      <c r="E119" s="31"/>
      <c r="F119" s="31"/>
      <c r="G119" s="31"/>
      <c r="H119" s="31"/>
      <c r="I119" s="9"/>
      <c r="J119" s="31"/>
      <c r="K119" s="31"/>
      <c r="L119" s="31"/>
      <c r="M119" s="27"/>
      <c r="N119" s="34">
        <v>0.7</v>
      </c>
      <c r="O119" s="34">
        <v>1</v>
      </c>
      <c r="P119" s="31"/>
      <c r="Q119" s="31"/>
      <c r="R119" s="31"/>
    </row>
    <row r="120" spans="1:18" s="5" customFormat="1" ht="30" x14ac:dyDescent="0.35">
      <c r="A120" s="8">
        <f>MAX($A$10:A119,0)+1</f>
        <v>101</v>
      </c>
      <c r="B120" s="8"/>
      <c r="C120" s="10" t="s">
        <v>157</v>
      </c>
      <c r="D120" s="45" t="s">
        <v>131</v>
      </c>
      <c r="E120" s="31"/>
      <c r="F120" s="31"/>
      <c r="G120" s="31"/>
      <c r="H120" s="31"/>
      <c r="I120" s="9"/>
      <c r="J120" s="31"/>
      <c r="K120" s="31"/>
      <c r="L120" s="31"/>
      <c r="M120" s="27"/>
      <c r="N120" s="34">
        <v>0.8</v>
      </c>
      <c r="O120" s="34">
        <v>1</v>
      </c>
      <c r="P120" s="31"/>
      <c r="Q120" s="31"/>
      <c r="R120" s="31"/>
    </row>
    <row r="121" spans="1:18" s="5" customFormat="1" ht="30" x14ac:dyDescent="0.35">
      <c r="A121" s="8">
        <f>MAX($A$10:A120,0)+1</f>
        <v>102</v>
      </c>
      <c r="B121" s="8"/>
      <c r="C121" s="10" t="s">
        <v>158</v>
      </c>
      <c r="D121" s="45" t="s">
        <v>131</v>
      </c>
      <c r="E121" s="31"/>
      <c r="F121" s="31"/>
      <c r="G121" s="31"/>
      <c r="H121" s="31"/>
      <c r="I121" s="9"/>
      <c r="J121" s="31"/>
      <c r="K121" s="31"/>
      <c r="L121" s="31"/>
      <c r="M121" s="27"/>
      <c r="N121" s="34">
        <v>0.8</v>
      </c>
      <c r="O121" s="34">
        <v>1</v>
      </c>
      <c r="P121" s="31"/>
      <c r="Q121" s="31"/>
      <c r="R121" s="31"/>
    </row>
    <row r="122" spans="1:18" s="5" customFormat="1" ht="30" x14ac:dyDescent="0.35">
      <c r="A122" s="8">
        <f>MAX($A$10:A121,0)+1</f>
        <v>103</v>
      </c>
      <c r="B122" s="8"/>
      <c r="C122" s="10" t="s">
        <v>159</v>
      </c>
      <c r="D122" s="45" t="s">
        <v>131</v>
      </c>
      <c r="E122" s="31"/>
      <c r="F122" s="31"/>
      <c r="G122" s="31"/>
      <c r="H122" s="31"/>
      <c r="I122" s="9"/>
      <c r="J122" s="31"/>
      <c r="K122" s="31"/>
      <c r="L122" s="31"/>
      <c r="M122" s="27"/>
      <c r="N122" s="34">
        <v>0.8</v>
      </c>
      <c r="O122" s="34">
        <v>1</v>
      </c>
      <c r="P122" s="31"/>
      <c r="Q122" s="31"/>
      <c r="R122" s="31"/>
    </row>
    <row r="123" spans="1:18" s="5" customFormat="1" ht="20" x14ac:dyDescent="0.35">
      <c r="A123" s="8">
        <f>MAX($A$10:A122,0)+1</f>
        <v>104</v>
      </c>
      <c r="B123" s="8"/>
      <c r="C123" s="10" t="s">
        <v>160</v>
      </c>
      <c r="D123" s="45" t="s">
        <v>131</v>
      </c>
      <c r="E123" s="31"/>
      <c r="F123" s="31"/>
      <c r="G123" s="31"/>
      <c r="H123" s="31"/>
      <c r="I123" s="9"/>
      <c r="J123" s="31"/>
      <c r="K123" s="31"/>
      <c r="L123" s="31"/>
      <c r="M123" s="27"/>
      <c r="N123" s="34">
        <v>0.7</v>
      </c>
      <c r="O123" s="34">
        <v>1</v>
      </c>
      <c r="P123" s="31"/>
      <c r="Q123" s="31"/>
      <c r="R123" s="31"/>
    </row>
    <row r="124" spans="1:18" s="5" customFormat="1" ht="30" x14ac:dyDescent="0.35">
      <c r="A124" s="8">
        <f>MAX($A$10:A123,0)+1</f>
        <v>105</v>
      </c>
      <c r="B124" s="8"/>
      <c r="C124" s="10" t="s">
        <v>161</v>
      </c>
      <c r="D124" s="45" t="s">
        <v>131</v>
      </c>
      <c r="E124" s="31"/>
      <c r="F124" s="31"/>
      <c r="G124" s="31"/>
      <c r="H124" s="31"/>
      <c r="I124" s="9"/>
      <c r="J124" s="31"/>
      <c r="K124" s="31"/>
      <c r="L124" s="31"/>
      <c r="M124" s="27"/>
      <c r="N124" s="34">
        <v>0.8</v>
      </c>
      <c r="O124" s="34">
        <v>1</v>
      </c>
      <c r="P124" s="31"/>
      <c r="Q124" s="31"/>
      <c r="R124" s="31"/>
    </row>
    <row r="125" spans="1:18" s="5" customFormat="1" ht="20" x14ac:dyDescent="0.35">
      <c r="A125" s="8">
        <f>MAX($A$10:A124,0)+1</f>
        <v>106</v>
      </c>
      <c r="B125" s="8"/>
      <c r="C125" s="10" t="s">
        <v>162</v>
      </c>
      <c r="D125" s="45" t="s">
        <v>131</v>
      </c>
      <c r="E125" s="31"/>
      <c r="F125" s="31"/>
      <c r="G125" s="31"/>
      <c r="H125" s="31"/>
      <c r="I125" s="9"/>
      <c r="J125" s="31"/>
      <c r="K125" s="31"/>
      <c r="L125" s="31"/>
      <c r="M125" s="27"/>
      <c r="N125" s="34">
        <v>1</v>
      </c>
      <c r="O125" s="34">
        <v>1</v>
      </c>
      <c r="P125" s="31"/>
      <c r="Q125" s="31"/>
      <c r="R125" s="31"/>
    </row>
    <row r="126" spans="1:18" s="5" customFormat="1" ht="30" x14ac:dyDescent="0.35">
      <c r="A126" s="8">
        <f>MAX($A$10:A125,0)+1</f>
        <v>107</v>
      </c>
      <c r="B126" s="8"/>
      <c r="C126" s="10" t="s">
        <v>163</v>
      </c>
      <c r="D126" s="45" t="s">
        <v>131</v>
      </c>
      <c r="E126" s="31"/>
      <c r="F126" s="31"/>
      <c r="G126" s="31"/>
      <c r="H126" s="31"/>
      <c r="I126" s="9"/>
      <c r="J126" s="31"/>
      <c r="K126" s="31"/>
      <c r="L126" s="31"/>
      <c r="M126" s="27"/>
      <c r="N126" s="34">
        <v>0.7</v>
      </c>
      <c r="O126" s="34">
        <v>1</v>
      </c>
      <c r="P126" s="31"/>
      <c r="Q126" s="31"/>
      <c r="R126" s="31"/>
    </row>
    <row r="127" spans="1:18" s="5" customFormat="1" ht="30" x14ac:dyDescent="0.35">
      <c r="A127" s="8">
        <f>MAX($A$10:A126,0)+1</f>
        <v>108</v>
      </c>
      <c r="B127" s="8"/>
      <c r="C127" s="10" t="s">
        <v>164</v>
      </c>
      <c r="D127" s="45" t="s">
        <v>131</v>
      </c>
      <c r="E127" s="31"/>
      <c r="F127" s="31"/>
      <c r="G127" s="31"/>
      <c r="H127" s="31"/>
      <c r="I127" s="9"/>
      <c r="J127" s="31"/>
      <c r="K127" s="31"/>
      <c r="L127" s="31"/>
      <c r="M127" s="27"/>
      <c r="N127" s="34">
        <v>0.8</v>
      </c>
      <c r="O127" s="34">
        <v>1</v>
      </c>
      <c r="P127" s="31"/>
      <c r="Q127" s="31"/>
      <c r="R127" s="31"/>
    </row>
    <row r="128" spans="1:18" s="5" customFormat="1" ht="30" x14ac:dyDescent="0.35">
      <c r="A128" s="8">
        <f>MAX($A$10:A127,0)+1</f>
        <v>109</v>
      </c>
      <c r="B128" s="8"/>
      <c r="C128" s="10" t="s">
        <v>165</v>
      </c>
      <c r="D128" s="45" t="s">
        <v>131</v>
      </c>
      <c r="E128" s="31"/>
      <c r="F128" s="31"/>
      <c r="G128" s="31"/>
      <c r="H128" s="31"/>
      <c r="I128" s="9"/>
      <c r="J128" s="31"/>
      <c r="K128" s="31"/>
      <c r="L128" s="31"/>
      <c r="M128" s="27"/>
      <c r="N128" s="34">
        <v>0.7</v>
      </c>
      <c r="O128" s="34">
        <v>1</v>
      </c>
      <c r="P128" s="31"/>
      <c r="Q128" s="31"/>
      <c r="R128" s="31"/>
    </row>
    <row r="129" spans="1:18" s="5" customFormat="1" ht="30" x14ac:dyDescent="0.35">
      <c r="A129" s="8">
        <f>MAX($A$10:A128,0)+1</f>
        <v>110</v>
      </c>
      <c r="B129" s="8"/>
      <c r="C129" s="10" t="s">
        <v>166</v>
      </c>
      <c r="D129" s="45" t="s">
        <v>131</v>
      </c>
      <c r="E129" s="31"/>
      <c r="F129" s="31"/>
      <c r="G129" s="31"/>
      <c r="H129" s="31"/>
      <c r="I129" s="9"/>
      <c r="J129" s="31"/>
      <c r="K129" s="31"/>
      <c r="L129" s="31"/>
      <c r="M129" s="27"/>
      <c r="N129" s="34">
        <v>0.5</v>
      </c>
      <c r="O129" s="34">
        <v>1</v>
      </c>
      <c r="P129" s="31"/>
      <c r="Q129" s="31"/>
      <c r="R129" s="31"/>
    </row>
    <row r="130" spans="1:18" s="5" customFormat="1" ht="30" x14ac:dyDescent="0.35">
      <c r="A130" s="8">
        <f>MAX($A$10:A129,0)+1</f>
        <v>111</v>
      </c>
      <c r="B130" s="8"/>
      <c r="C130" s="10" t="s">
        <v>166</v>
      </c>
      <c r="D130" s="45" t="s">
        <v>131</v>
      </c>
      <c r="E130" s="31"/>
      <c r="F130" s="31"/>
      <c r="G130" s="31"/>
      <c r="H130" s="31"/>
      <c r="I130" s="9"/>
      <c r="J130" s="31"/>
      <c r="K130" s="31"/>
      <c r="L130" s="31"/>
      <c r="M130" s="27"/>
      <c r="N130" s="27"/>
      <c r="O130" s="34">
        <v>1</v>
      </c>
      <c r="P130" s="31"/>
      <c r="Q130" s="31"/>
      <c r="R130" s="31"/>
    </row>
    <row r="131" spans="1:18" s="5" customFormat="1" ht="10.5" x14ac:dyDescent="0.35">
      <c r="A131" s="22"/>
      <c r="B131" s="26" t="s">
        <v>167</v>
      </c>
      <c r="C131" s="24"/>
      <c r="D131" s="24"/>
      <c r="E131" s="29"/>
      <c r="F131" s="29"/>
      <c r="G131" s="29"/>
      <c r="H131" s="29"/>
      <c r="I131" s="25"/>
      <c r="J131" s="29"/>
      <c r="K131" s="29"/>
      <c r="L131" s="29"/>
      <c r="M131" s="29"/>
      <c r="N131" s="29"/>
      <c r="O131" s="29"/>
      <c r="P131" s="29"/>
      <c r="Q131" s="29"/>
      <c r="R131" s="29"/>
    </row>
    <row r="132" spans="1:18" s="5" customFormat="1" ht="20" x14ac:dyDescent="0.35">
      <c r="A132" s="8">
        <f>MAX($A$10:A131,0)+1</f>
        <v>112</v>
      </c>
      <c r="B132" s="8"/>
      <c r="C132" s="10" t="s">
        <v>168</v>
      </c>
      <c r="D132" s="45" t="s">
        <v>169</v>
      </c>
      <c r="E132" s="31"/>
      <c r="F132" s="31"/>
      <c r="G132" s="31"/>
      <c r="H132" s="31"/>
      <c r="I132" s="9"/>
      <c r="J132" s="31"/>
      <c r="K132" s="31"/>
      <c r="L132" s="31"/>
      <c r="M132" s="27"/>
      <c r="N132" s="27"/>
      <c r="O132" s="34">
        <v>1</v>
      </c>
      <c r="P132" s="31"/>
      <c r="Q132" s="31"/>
      <c r="R132" s="31"/>
    </row>
    <row r="133" spans="1:18" s="5" customFormat="1" ht="30" x14ac:dyDescent="0.35">
      <c r="A133" s="8">
        <f>MAX($A$10:A132,0)+1</f>
        <v>113</v>
      </c>
      <c r="B133" s="8"/>
      <c r="C133" s="10" t="s">
        <v>170</v>
      </c>
      <c r="D133" s="45" t="s">
        <v>169</v>
      </c>
      <c r="E133" s="31"/>
      <c r="F133" s="31"/>
      <c r="G133" s="31"/>
      <c r="H133" s="31"/>
      <c r="I133" s="9"/>
      <c r="J133" s="31"/>
      <c r="K133" s="31"/>
      <c r="L133" s="31"/>
      <c r="M133" s="27"/>
      <c r="N133" s="27"/>
      <c r="O133" s="34">
        <v>1</v>
      </c>
      <c r="P133" s="31"/>
      <c r="Q133" s="31"/>
      <c r="R133" s="31"/>
    </row>
    <row r="134" spans="1:18" s="5" customFormat="1" ht="20" x14ac:dyDescent="0.35">
      <c r="A134" s="8">
        <f>MAX($A$10:A133,0)+1</f>
        <v>114</v>
      </c>
      <c r="B134" s="8"/>
      <c r="C134" s="10" t="s">
        <v>171</v>
      </c>
      <c r="D134" s="45" t="s">
        <v>169</v>
      </c>
      <c r="E134" s="31"/>
      <c r="F134" s="31"/>
      <c r="G134" s="31"/>
      <c r="H134" s="31"/>
      <c r="I134" s="9"/>
      <c r="J134" s="31"/>
      <c r="K134" s="31"/>
      <c r="L134" s="31"/>
      <c r="M134" s="27"/>
      <c r="N134" s="27"/>
      <c r="O134" s="34">
        <v>1</v>
      </c>
      <c r="P134" s="31"/>
      <c r="Q134" s="31"/>
      <c r="R134" s="31"/>
    </row>
    <row r="135" spans="1:18" s="5" customFormat="1" ht="20" x14ac:dyDescent="0.35">
      <c r="A135" s="8">
        <f>MAX($A$10:A134,0)+1</f>
        <v>115</v>
      </c>
      <c r="B135" s="8"/>
      <c r="C135" s="10" t="s">
        <v>172</v>
      </c>
      <c r="D135" s="45" t="s">
        <v>169</v>
      </c>
      <c r="E135" s="31"/>
      <c r="F135" s="31"/>
      <c r="G135" s="31"/>
      <c r="H135" s="31"/>
      <c r="I135" s="9"/>
      <c r="J135" s="31"/>
      <c r="K135" s="31"/>
      <c r="L135" s="31"/>
      <c r="M135" s="27"/>
      <c r="N135" s="27"/>
      <c r="O135" s="34">
        <v>1</v>
      </c>
      <c r="P135" s="31"/>
      <c r="Q135" s="31"/>
      <c r="R135" s="31"/>
    </row>
    <row r="136" spans="1:18" s="5" customFormat="1" ht="20" x14ac:dyDescent="0.35">
      <c r="A136" s="8">
        <f>MAX($A$10:A135,0)+1</f>
        <v>116</v>
      </c>
      <c r="B136" s="8"/>
      <c r="C136" s="10" t="s">
        <v>173</v>
      </c>
      <c r="D136" s="45" t="s">
        <v>169</v>
      </c>
      <c r="E136" s="31"/>
      <c r="F136" s="31"/>
      <c r="G136" s="31"/>
      <c r="H136" s="31"/>
      <c r="I136" s="9"/>
      <c r="J136" s="31"/>
      <c r="K136" s="31"/>
      <c r="L136" s="31"/>
      <c r="M136" s="27"/>
      <c r="N136" s="27"/>
      <c r="O136" s="34">
        <v>1</v>
      </c>
      <c r="P136" s="31"/>
      <c r="Q136" s="31"/>
      <c r="R136" s="31"/>
    </row>
    <row r="137" spans="1:18" s="5" customFormat="1" ht="30" x14ac:dyDescent="0.35">
      <c r="A137" s="8">
        <f>MAX($A$10:A136,0)+1</f>
        <v>117</v>
      </c>
      <c r="B137" s="8"/>
      <c r="C137" s="10" t="s">
        <v>174</v>
      </c>
      <c r="D137" s="45" t="s">
        <v>169</v>
      </c>
      <c r="E137" s="31"/>
      <c r="F137" s="31"/>
      <c r="G137" s="31"/>
      <c r="H137" s="31"/>
      <c r="I137" s="9"/>
      <c r="J137" s="31"/>
      <c r="K137" s="31"/>
      <c r="L137" s="31"/>
      <c r="M137" s="27"/>
      <c r="N137" s="27"/>
      <c r="O137" s="34">
        <v>1</v>
      </c>
      <c r="P137" s="31"/>
      <c r="Q137" s="31"/>
      <c r="R137" s="31"/>
    </row>
    <row r="138" spans="1:18" s="5" customFormat="1" ht="20" x14ac:dyDescent="0.35">
      <c r="A138" s="8">
        <f>MAX($A$10:A137,0)+1</f>
        <v>118</v>
      </c>
      <c r="B138" s="8"/>
      <c r="C138" s="10" t="s">
        <v>175</v>
      </c>
      <c r="D138" s="45" t="s">
        <v>169</v>
      </c>
      <c r="E138" s="31"/>
      <c r="F138" s="31"/>
      <c r="G138" s="31"/>
      <c r="H138" s="31"/>
      <c r="I138" s="9"/>
      <c r="J138" s="31"/>
      <c r="K138" s="31"/>
      <c r="L138" s="31"/>
      <c r="M138" s="27"/>
      <c r="N138" s="27"/>
      <c r="O138" s="34">
        <v>0.7</v>
      </c>
      <c r="P138" s="34">
        <v>1</v>
      </c>
      <c r="Q138" s="31"/>
      <c r="R138" s="31"/>
    </row>
    <row r="139" spans="1:18" s="5" customFormat="1" ht="20" x14ac:dyDescent="0.35">
      <c r="A139" s="8">
        <f>MAX($A$10:A138,0)+1</f>
        <v>119</v>
      </c>
      <c r="B139" s="8"/>
      <c r="C139" s="10" t="s">
        <v>176</v>
      </c>
      <c r="D139" s="45" t="s">
        <v>169</v>
      </c>
      <c r="E139" s="31"/>
      <c r="F139" s="31"/>
      <c r="G139" s="31"/>
      <c r="H139" s="31"/>
      <c r="I139" s="9"/>
      <c r="J139" s="31"/>
      <c r="K139" s="31"/>
      <c r="L139" s="31"/>
      <c r="M139" s="27"/>
      <c r="N139" s="27"/>
      <c r="O139" s="34">
        <v>1</v>
      </c>
      <c r="P139" s="31"/>
      <c r="Q139" s="31"/>
      <c r="R139" s="31"/>
    </row>
    <row r="140" spans="1:18" s="5" customFormat="1" ht="20" x14ac:dyDescent="0.35">
      <c r="A140" s="8">
        <f>MAX($A$10:A139,0)+1</f>
        <v>120</v>
      </c>
      <c r="B140" s="8"/>
      <c r="C140" s="10" t="s">
        <v>177</v>
      </c>
      <c r="D140" s="45" t="s">
        <v>169</v>
      </c>
      <c r="E140" s="31"/>
      <c r="F140" s="31"/>
      <c r="G140" s="31"/>
      <c r="H140" s="31"/>
      <c r="I140" s="9"/>
      <c r="J140" s="31"/>
      <c r="K140" s="31"/>
      <c r="L140" s="31"/>
      <c r="M140" s="27"/>
      <c r="N140" s="27"/>
      <c r="O140" s="34">
        <v>0.7</v>
      </c>
      <c r="P140" s="34">
        <v>1</v>
      </c>
      <c r="Q140" s="31"/>
      <c r="R140" s="31"/>
    </row>
    <row r="141" spans="1:18" s="5" customFormat="1" ht="20" x14ac:dyDescent="0.35">
      <c r="A141" s="8">
        <f>MAX($A$10:A140,0)+1</f>
        <v>121</v>
      </c>
      <c r="B141" s="8"/>
      <c r="C141" s="10" t="s">
        <v>178</v>
      </c>
      <c r="D141" s="45" t="s">
        <v>169</v>
      </c>
      <c r="E141" s="31"/>
      <c r="F141" s="31"/>
      <c r="G141" s="31"/>
      <c r="H141" s="31"/>
      <c r="I141" s="9"/>
      <c r="J141" s="31"/>
      <c r="K141" s="31"/>
      <c r="L141" s="31"/>
      <c r="M141" s="27"/>
      <c r="N141" s="27"/>
      <c r="O141" s="34">
        <v>1</v>
      </c>
      <c r="P141" s="31"/>
      <c r="Q141" s="31"/>
      <c r="R141" s="31"/>
    </row>
    <row r="142" spans="1:18" s="5" customFormat="1" ht="20" x14ac:dyDescent="0.35">
      <c r="A142" s="8">
        <f>MAX($A$10:A141,0)+1</f>
        <v>122</v>
      </c>
      <c r="B142" s="8"/>
      <c r="C142" s="10" t="s">
        <v>179</v>
      </c>
      <c r="D142" s="45" t="s">
        <v>169</v>
      </c>
      <c r="E142" s="31"/>
      <c r="F142" s="31"/>
      <c r="G142" s="31"/>
      <c r="H142" s="31"/>
      <c r="I142" s="9"/>
      <c r="J142" s="31"/>
      <c r="K142" s="31"/>
      <c r="L142" s="31"/>
      <c r="M142" s="27"/>
      <c r="N142" s="27"/>
      <c r="O142" s="34">
        <v>1</v>
      </c>
      <c r="P142" s="31"/>
      <c r="Q142" s="31"/>
      <c r="R142" s="31"/>
    </row>
    <row r="143" spans="1:18" s="5" customFormat="1" ht="20" x14ac:dyDescent="0.35">
      <c r="A143" s="8">
        <f>MAX($A$10:A142,0)+1</f>
        <v>123</v>
      </c>
      <c r="B143" s="8"/>
      <c r="C143" s="10" t="s">
        <v>180</v>
      </c>
      <c r="D143" s="45" t="s">
        <v>169</v>
      </c>
      <c r="E143" s="31"/>
      <c r="F143" s="31"/>
      <c r="G143" s="31"/>
      <c r="H143" s="31"/>
      <c r="I143" s="9"/>
      <c r="J143" s="31"/>
      <c r="K143" s="31"/>
      <c r="L143" s="31"/>
      <c r="M143" s="27"/>
      <c r="N143" s="27"/>
      <c r="O143" s="34">
        <v>1</v>
      </c>
      <c r="P143" s="31"/>
      <c r="Q143" s="31"/>
      <c r="R143" s="31"/>
    </row>
    <row r="144" spans="1:18" s="5" customFormat="1" ht="20" x14ac:dyDescent="0.35">
      <c r="A144" s="8">
        <f>MAX($A$10:A143,0)+1</f>
        <v>124</v>
      </c>
      <c r="B144" s="8"/>
      <c r="C144" s="10" t="s">
        <v>181</v>
      </c>
      <c r="D144" s="45" t="s">
        <v>169</v>
      </c>
      <c r="E144" s="31"/>
      <c r="F144" s="31"/>
      <c r="G144" s="31"/>
      <c r="H144" s="31"/>
      <c r="I144" s="9"/>
      <c r="J144" s="31"/>
      <c r="K144" s="31"/>
      <c r="L144" s="31"/>
      <c r="M144" s="27"/>
      <c r="N144" s="27"/>
      <c r="O144" s="34">
        <v>1</v>
      </c>
      <c r="P144" s="31"/>
      <c r="Q144" s="31"/>
      <c r="R144" s="31"/>
    </row>
    <row r="145" spans="1:18" s="5" customFormat="1" x14ac:dyDescent="0.35">
      <c r="A145" s="8">
        <f>MAX($A$10:A144,0)+1</f>
        <v>125</v>
      </c>
      <c r="B145" s="8"/>
      <c r="C145" s="10" t="s">
        <v>182</v>
      </c>
      <c r="D145" s="45" t="s">
        <v>169</v>
      </c>
      <c r="E145" s="31"/>
      <c r="F145" s="31"/>
      <c r="G145" s="31"/>
      <c r="H145" s="31"/>
      <c r="I145" s="9"/>
      <c r="J145" s="31"/>
      <c r="K145" s="31"/>
      <c r="L145" s="31"/>
      <c r="M145" s="27"/>
      <c r="N145" s="27"/>
      <c r="O145" s="34">
        <v>1</v>
      </c>
      <c r="P145" s="31"/>
      <c r="Q145" s="31"/>
      <c r="R145" s="31"/>
    </row>
    <row r="146" spans="1:18" s="5" customFormat="1" ht="20" x14ac:dyDescent="0.35">
      <c r="A146" s="8">
        <f>MAX($A$10:A145,0)+1</f>
        <v>126</v>
      </c>
      <c r="B146" s="8"/>
      <c r="C146" s="10" t="s">
        <v>183</v>
      </c>
      <c r="D146" s="45" t="s">
        <v>169</v>
      </c>
      <c r="E146" s="31"/>
      <c r="F146" s="31"/>
      <c r="G146" s="31"/>
      <c r="H146" s="31"/>
      <c r="I146" s="9"/>
      <c r="J146" s="31"/>
      <c r="K146" s="31"/>
      <c r="L146" s="31"/>
      <c r="M146" s="27"/>
      <c r="N146" s="27"/>
      <c r="O146" s="34">
        <v>1</v>
      </c>
      <c r="P146" s="31"/>
      <c r="Q146" s="31"/>
      <c r="R146" s="31"/>
    </row>
    <row r="147" spans="1:18" s="5" customFormat="1" ht="20" x14ac:dyDescent="0.35">
      <c r="A147" s="8">
        <f>MAX($A$10:A146,0)+1</f>
        <v>127</v>
      </c>
      <c r="B147" s="8"/>
      <c r="C147" s="10" t="s">
        <v>184</v>
      </c>
      <c r="D147" s="45" t="s">
        <v>169</v>
      </c>
      <c r="E147" s="31"/>
      <c r="F147" s="31"/>
      <c r="G147" s="31"/>
      <c r="H147" s="31"/>
      <c r="I147" s="9"/>
      <c r="J147" s="31"/>
      <c r="K147" s="31"/>
      <c r="L147" s="31"/>
      <c r="M147" s="27"/>
      <c r="N147" s="27"/>
      <c r="O147" s="34">
        <v>1</v>
      </c>
      <c r="P147" s="31"/>
      <c r="Q147" s="31"/>
      <c r="R147" s="31"/>
    </row>
    <row r="148" spans="1:18" s="5" customFormat="1" ht="20" x14ac:dyDescent="0.35">
      <c r="A148" s="8">
        <f>MAX($A$10:A147,0)+1</f>
        <v>128</v>
      </c>
      <c r="B148" s="8"/>
      <c r="C148" s="10" t="s">
        <v>185</v>
      </c>
      <c r="D148" s="45" t="s">
        <v>186</v>
      </c>
      <c r="E148" s="31"/>
      <c r="F148" s="31"/>
      <c r="G148" s="31"/>
      <c r="H148" s="31"/>
      <c r="I148" s="9"/>
      <c r="J148" s="31"/>
      <c r="K148" s="31"/>
      <c r="L148" s="31"/>
      <c r="M148" s="27"/>
      <c r="N148" s="27"/>
      <c r="O148" s="34">
        <v>1</v>
      </c>
      <c r="P148" s="31"/>
      <c r="Q148" s="31"/>
      <c r="R148" s="31"/>
    </row>
    <row r="149" spans="1:18" s="5" customFormat="1" ht="20" x14ac:dyDescent="0.35">
      <c r="A149" s="8">
        <f>MAX($A$10:A148,0)+1</f>
        <v>129</v>
      </c>
      <c r="B149" s="8"/>
      <c r="C149" s="10" t="s">
        <v>187</v>
      </c>
      <c r="D149" s="45" t="s">
        <v>186</v>
      </c>
      <c r="E149" s="31"/>
      <c r="F149" s="31"/>
      <c r="G149" s="31"/>
      <c r="H149" s="31"/>
      <c r="I149" s="9"/>
      <c r="J149" s="31"/>
      <c r="K149" s="31"/>
      <c r="L149" s="31"/>
      <c r="M149" s="27"/>
      <c r="N149" s="27"/>
      <c r="O149" s="34">
        <v>1</v>
      </c>
      <c r="P149" s="31"/>
      <c r="Q149" s="31"/>
      <c r="R149" s="31"/>
    </row>
    <row r="150" spans="1:18" s="5" customFormat="1" ht="30" x14ac:dyDescent="0.35">
      <c r="A150" s="8">
        <f>MAX($A$10:A149,0)+1</f>
        <v>130</v>
      </c>
      <c r="B150" s="8"/>
      <c r="C150" s="10" t="s">
        <v>188</v>
      </c>
      <c r="D150" s="45" t="s">
        <v>186</v>
      </c>
      <c r="E150" s="31"/>
      <c r="F150" s="31"/>
      <c r="G150" s="31"/>
      <c r="H150" s="31"/>
      <c r="I150" s="9"/>
      <c r="J150" s="31"/>
      <c r="K150" s="31"/>
      <c r="L150" s="31"/>
      <c r="M150" s="27"/>
      <c r="N150" s="27"/>
      <c r="O150" s="34">
        <v>1</v>
      </c>
      <c r="P150" s="31"/>
      <c r="Q150" s="31"/>
      <c r="R150" s="31"/>
    </row>
    <row r="151" spans="1:18" s="5" customFormat="1" ht="20" x14ac:dyDescent="0.35">
      <c r="A151" s="8">
        <f>MAX($A$10:A150,0)+1</f>
        <v>131</v>
      </c>
      <c r="B151" s="8"/>
      <c r="C151" s="10" t="s">
        <v>189</v>
      </c>
      <c r="D151" s="45" t="s">
        <v>186</v>
      </c>
      <c r="E151" s="31"/>
      <c r="F151" s="31"/>
      <c r="G151" s="31"/>
      <c r="H151" s="31"/>
      <c r="I151" s="9"/>
      <c r="J151" s="31"/>
      <c r="K151" s="31"/>
      <c r="L151" s="31"/>
      <c r="M151" s="27"/>
      <c r="N151" s="27"/>
      <c r="O151" s="34">
        <v>1</v>
      </c>
      <c r="P151" s="31"/>
      <c r="Q151" s="31"/>
      <c r="R151" s="31"/>
    </row>
    <row r="152" spans="1:18" s="5" customFormat="1" ht="40" x14ac:dyDescent="0.35">
      <c r="A152" s="8">
        <f>MAX($A$10:A151,0)+1</f>
        <v>132</v>
      </c>
      <c r="B152" s="8"/>
      <c r="C152" s="10" t="s">
        <v>190</v>
      </c>
      <c r="D152" s="45" t="s">
        <v>186</v>
      </c>
      <c r="E152" s="31"/>
      <c r="F152" s="31"/>
      <c r="G152" s="31"/>
      <c r="H152" s="31"/>
      <c r="I152" s="9"/>
      <c r="J152" s="31"/>
      <c r="K152" s="31"/>
      <c r="L152" s="31"/>
      <c r="M152" s="27"/>
      <c r="N152" s="27"/>
      <c r="O152" s="34">
        <v>0.7</v>
      </c>
      <c r="P152" s="34">
        <v>1</v>
      </c>
      <c r="Q152" s="31"/>
      <c r="R152" s="31"/>
    </row>
    <row r="153" spans="1:18" s="5" customFormat="1" ht="30" x14ac:dyDescent="0.35">
      <c r="A153" s="8">
        <f>MAX($A$10:A152,0)+1</f>
        <v>133</v>
      </c>
      <c r="B153" s="8"/>
      <c r="C153" s="10" t="s">
        <v>191</v>
      </c>
      <c r="D153" s="45" t="s">
        <v>186</v>
      </c>
      <c r="E153" s="31"/>
      <c r="F153" s="31"/>
      <c r="G153" s="31"/>
      <c r="H153" s="31"/>
      <c r="I153" s="9"/>
      <c r="J153" s="31"/>
      <c r="K153" s="31"/>
      <c r="L153" s="31"/>
      <c r="M153" s="27"/>
      <c r="N153" s="27"/>
      <c r="O153" s="34">
        <v>1</v>
      </c>
      <c r="P153" s="31"/>
      <c r="Q153" s="31"/>
      <c r="R153" s="31"/>
    </row>
    <row r="154" spans="1:18" s="5" customFormat="1" ht="20" x14ac:dyDescent="0.35">
      <c r="A154" s="8">
        <f>MAX($A$10:A153,0)+1</f>
        <v>134</v>
      </c>
      <c r="B154" s="8"/>
      <c r="C154" s="10" t="s">
        <v>192</v>
      </c>
      <c r="D154" s="45" t="s">
        <v>193</v>
      </c>
      <c r="E154" s="31"/>
      <c r="F154" s="31"/>
      <c r="G154" s="31"/>
      <c r="H154" s="31"/>
      <c r="I154" s="9"/>
      <c r="J154" s="31"/>
      <c r="K154" s="31"/>
      <c r="L154" s="31"/>
      <c r="M154" s="27"/>
      <c r="N154" s="27"/>
      <c r="O154" s="34">
        <v>0.7</v>
      </c>
      <c r="P154" s="34">
        <v>1</v>
      </c>
      <c r="Q154" s="31"/>
      <c r="R154" s="31"/>
    </row>
    <row r="155" spans="1:18" s="5" customFormat="1" ht="20" x14ac:dyDescent="0.35">
      <c r="A155" s="8">
        <f>MAX($A$10:A154,0)+1</f>
        <v>135</v>
      </c>
      <c r="B155" s="8"/>
      <c r="C155" s="10" t="s">
        <v>194</v>
      </c>
      <c r="D155" s="45" t="s">
        <v>193</v>
      </c>
      <c r="E155" s="31"/>
      <c r="F155" s="31"/>
      <c r="G155" s="31"/>
      <c r="H155" s="31"/>
      <c r="I155" s="9"/>
      <c r="J155" s="31"/>
      <c r="K155" s="31"/>
      <c r="L155" s="31"/>
      <c r="M155" s="27"/>
      <c r="N155" s="27"/>
      <c r="O155" s="34">
        <v>1</v>
      </c>
      <c r="P155" s="31"/>
      <c r="Q155" s="31"/>
      <c r="R155" s="31"/>
    </row>
    <row r="156" spans="1:18" s="5" customFormat="1" ht="30" x14ac:dyDescent="0.35">
      <c r="A156" s="8">
        <f>MAX($A$10:A155,0)+1</f>
        <v>136</v>
      </c>
      <c r="B156" s="8"/>
      <c r="C156" s="10" t="s">
        <v>195</v>
      </c>
      <c r="D156" s="45" t="s">
        <v>193</v>
      </c>
      <c r="E156" s="31"/>
      <c r="F156" s="31"/>
      <c r="G156" s="31"/>
      <c r="H156" s="31"/>
      <c r="I156" s="9"/>
      <c r="J156" s="31"/>
      <c r="K156" s="31"/>
      <c r="L156" s="31"/>
      <c r="M156" s="27"/>
      <c r="N156" s="27"/>
      <c r="O156" s="34">
        <v>1</v>
      </c>
      <c r="P156" s="31"/>
      <c r="Q156" s="31"/>
      <c r="R156" s="31"/>
    </row>
    <row r="157" spans="1:18" s="5" customFormat="1" ht="20" x14ac:dyDescent="0.35">
      <c r="A157" s="8">
        <f>MAX($A$10:A156,0)+1</f>
        <v>137</v>
      </c>
      <c r="B157" s="8"/>
      <c r="C157" s="10" t="s">
        <v>196</v>
      </c>
      <c r="D157" s="45" t="s">
        <v>193</v>
      </c>
      <c r="E157" s="31"/>
      <c r="F157" s="31"/>
      <c r="G157" s="31"/>
      <c r="H157" s="31"/>
      <c r="I157" s="9"/>
      <c r="J157" s="31"/>
      <c r="K157" s="31"/>
      <c r="L157" s="31"/>
      <c r="M157" s="27"/>
      <c r="N157" s="27"/>
      <c r="O157" s="34">
        <v>1</v>
      </c>
      <c r="P157" s="31"/>
      <c r="Q157" s="31"/>
      <c r="R157" s="31"/>
    </row>
    <row r="158" spans="1:18" s="5" customFormat="1" ht="10.5" x14ac:dyDescent="0.35">
      <c r="A158" s="22"/>
      <c r="B158" s="26" t="s">
        <v>197</v>
      </c>
      <c r="C158" s="24"/>
      <c r="D158" s="24"/>
      <c r="E158" s="29"/>
      <c r="F158" s="29"/>
      <c r="G158" s="29"/>
      <c r="H158" s="29"/>
      <c r="I158" s="25"/>
      <c r="J158" s="29"/>
      <c r="K158" s="29"/>
      <c r="L158" s="29"/>
      <c r="M158" s="29"/>
      <c r="N158" s="29"/>
      <c r="O158" s="29"/>
      <c r="P158" s="29"/>
      <c r="Q158" s="29"/>
      <c r="R158" s="29"/>
    </row>
    <row r="159" spans="1:18" s="5" customFormat="1" ht="30" x14ac:dyDescent="0.35">
      <c r="A159" s="8">
        <f>MAX($A$10:A157,0)+1</f>
        <v>138</v>
      </c>
      <c r="B159" s="8"/>
      <c r="C159" s="10" t="s">
        <v>198</v>
      </c>
      <c r="D159" s="45" t="s">
        <v>193</v>
      </c>
      <c r="E159" s="31"/>
      <c r="F159" s="31"/>
      <c r="G159" s="31"/>
      <c r="H159" s="31"/>
      <c r="I159" s="9"/>
      <c r="J159" s="31"/>
      <c r="K159" s="31"/>
      <c r="L159" s="31"/>
      <c r="M159" s="27"/>
      <c r="N159" s="27"/>
      <c r="O159" s="34">
        <v>0.7</v>
      </c>
      <c r="P159" s="34">
        <v>1</v>
      </c>
      <c r="Q159" s="31"/>
      <c r="R159" s="31"/>
    </row>
    <row r="160" spans="1:18" s="5" customFormat="1" ht="30" x14ac:dyDescent="0.35">
      <c r="A160" s="8">
        <f>MAX($A$10:A159,0)+1</f>
        <v>139</v>
      </c>
      <c r="B160" s="8"/>
      <c r="C160" s="10" t="s">
        <v>199</v>
      </c>
      <c r="D160" s="45" t="s">
        <v>193</v>
      </c>
      <c r="E160" s="31"/>
      <c r="F160" s="31"/>
      <c r="G160" s="31"/>
      <c r="H160" s="31"/>
      <c r="I160" s="9"/>
      <c r="J160" s="31"/>
      <c r="K160" s="31"/>
      <c r="L160" s="31"/>
      <c r="M160" s="27"/>
      <c r="N160" s="27"/>
      <c r="O160" s="34">
        <v>1</v>
      </c>
      <c r="P160" s="31"/>
      <c r="Q160" s="31"/>
      <c r="R160" s="31"/>
    </row>
    <row r="161" spans="1:18" s="5" customFormat="1" ht="20" x14ac:dyDescent="0.35">
      <c r="A161" s="8">
        <f>MAX($A$10:A160,0)+1</f>
        <v>140</v>
      </c>
      <c r="B161" s="8"/>
      <c r="C161" s="10" t="s">
        <v>200</v>
      </c>
      <c r="D161" s="45" t="s">
        <v>193</v>
      </c>
      <c r="E161" s="31"/>
      <c r="F161" s="31"/>
      <c r="G161" s="31"/>
      <c r="H161" s="31"/>
      <c r="I161" s="9"/>
      <c r="J161" s="31"/>
      <c r="K161" s="31"/>
      <c r="L161" s="31"/>
      <c r="M161" s="27"/>
      <c r="N161" s="27"/>
      <c r="O161" s="34">
        <v>0.7</v>
      </c>
      <c r="P161" s="34">
        <v>1</v>
      </c>
      <c r="Q161" s="31"/>
      <c r="R161" s="31"/>
    </row>
    <row r="162" spans="1:18" s="5" customFormat="1" ht="30" x14ac:dyDescent="0.35">
      <c r="A162" s="8">
        <f>MAX($A$10:A161,0)+1</f>
        <v>141</v>
      </c>
      <c r="B162" s="8"/>
      <c r="C162" s="10" t="s">
        <v>201</v>
      </c>
      <c r="D162" s="45" t="s">
        <v>193</v>
      </c>
      <c r="E162" s="31"/>
      <c r="F162" s="31"/>
      <c r="G162" s="31"/>
      <c r="H162" s="31"/>
      <c r="I162" s="9"/>
      <c r="J162" s="31"/>
      <c r="K162" s="31"/>
      <c r="L162" s="31"/>
      <c r="M162" s="27"/>
      <c r="N162" s="27"/>
      <c r="O162" s="34">
        <v>0.7</v>
      </c>
      <c r="P162" s="34">
        <v>1</v>
      </c>
      <c r="Q162" s="31"/>
      <c r="R162" s="31"/>
    </row>
    <row r="163" spans="1:18" s="5" customFormat="1" ht="30" x14ac:dyDescent="0.35">
      <c r="A163" s="8">
        <f>MAX($A$10:A162,0)+1</f>
        <v>142</v>
      </c>
      <c r="B163" s="8"/>
      <c r="C163" s="10" t="s">
        <v>202</v>
      </c>
      <c r="D163" s="45" t="s">
        <v>193</v>
      </c>
      <c r="E163" s="31"/>
      <c r="F163" s="31"/>
      <c r="G163" s="31"/>
      <c r="H163" s="31"/>
      <c r="I163" s="9"/>
      <c r="J163" s="31"/>
      <c r="K163" s="31"/>
      <c r="L163" s="31"/>
      <c r="M163" s="27"/>
      <c r="N163" s="27"/>
      <c r="O163" s="34">
        <v>1</v>
      </c>
      <c r="P163" s="31"/>
      <c r="Q163" s="31"/>
      <c r="R163" s="31"/>
    </row>
    <row r="164" spans="1:18" s="5" customFormat="1" ht="20" x14ac:dyDescent="0.35">
      <c r="A164" s="8">
        <f>MAX($A$10:A163,0)+1</f>
        <v>143</v>
      </c>
      <c r="B164" s="8"/>
      <c r="C164" s="10" t="s">
        <v>203</v>
      </c>
      <c r="D164" s="45" t="s">
        <v>193</v>
      </c>
      <c r="E164" s="31"/>
      <c r="F164" s="31"/>
      <c r="G164" s="31"/>
      <c r="H164" s="31"/>
      <c r="I164" s="9"/>
      <c r="J164" s="31"/>
      <c r="K164" s="31"/>
      <c r="L164" s="31"/>
      <c r="M164" s="27"/>
      <c r="N164" s="27"/>
      <c r="O164" s="34">
        <v>1</v>
      </c>
      <c r="P164" s="31"/>
      <c r="Q164" s="31"/>
      <c r="R164" s="31"/>
    </row>
    <row r="165" spans="1:18" s="5" customFormat="1" ht="30" x14ac:dyDescent="0.35">
      <c r="A165" s="8">
        <f>MAX($A$10:A164,0)+1</f>
        <v>144</v>
      </c>
      <c r="B165" s="8"/>
      <c r="C165" s="10" t="s">
        <v>204</v>
      </c>
      <c r="D165" s="45" t="s">
        <v>193</v>
      </c>
      <c r="E165" s="31"/>
      <c r="F165" s="31"/>
      <c r="G165" s="31"/>
      <c r="H165" s="31"/>
      <c r="I165" s="9"/>
      <c r="J165" s="31"/>
      <c r="K165" s="31"/>
      <c r="L165" s="31"/>
      <c r="M165" s="27"/>
      <c r="N165" s="27"/>
      <c r="O165" s="34">
        <v>0.7</v>
      </c>
      <c r="P165" s="34">
        <v>1</v>
      </c>
      <c r="Q165" s="31"/>
      <c r="R165" s="31"/>
    </row>
    <row r="166" spans="1:18" s="5" customFormat="1" ht="10.5" x14ac:dyDescent="0.35">
      <c r="A166" s="22"/>
      <c r="B166" s="26" t="s">
        <v>205</v>
      </c>
      <c r="C166" s="24"/>
      <c r="D166" s="24"/>
      <c r="E166" s="29"/>
      <c r="F166" s="29"/>
      <c r="G166" s="29"/>
      <c r="H166" s="29"/>
      <c r="I166" s="25"/>
      <c r="J166" s="29"/>
      <c r="K166" s="29"/>
      <c r="L166" s="29"/>
      <c r="M166" s="29"/>
      <c r="N166" s="29"/>
      <c r="O166" s="29"/>
      <c r="P166" s="29"/>
      <c r="Q166" s="29"/>
      <c r="R166" s="29"/>
    </row>
    <row r="167" spans="1:18" s="5" customFormat="1" ht="20" x14ac:dyDescent="0.35">
      <c r="A167" s="8">
        <f>MAX($A$10:A166,0)+1</f>
        <v>145</v>
      </c>
      <c r="B167" s="8"/>
      <c r="C167" s="10" t="s">
        <v>206</v>
      </c>
      <c r="D167" s="45" t="s">
        <v>207</v>
      </c>
      <c r="E167" s="31"/>
      <c r="F167" s="31"/>
      <c r="G167" s="31"/>
      <c r="H167" s="31"/>
      <c r="I167" s="9"/>
      <c r="J167" s="31"/>
      <c r="K167" s="31"/>
      <c r="L167" s="31"/>
      <c r="M167" s="27"/>
      <c r="N167" s="27"/>
      <c r="O167" s="27"/>
      <c r="P167" s="34">
        <v>1</v>
      </c>
      <c r="Q167" s="31"/>
      <c r="R167" s="31"/>
    </row>
    <row r="168" spans="1:18" s="5" customFormat="1" ht="60" x14ac:dyDescent="0.35">
      <c r="A168" s="8">
        <f>MAX($A$10:A167,0)+1</f>
        <v>146</v>
      </c>
      <c r="B168" s="8"/>
      <c r="C168" s="10" t="s">
        <v>208</v>
      </c>
      <c r="D168" s="45" t="s">
        <v>207</v>
      </c>
      <c r="E168" s="31"/>
      <c r="F168" s="31"/>
      <c r="G168" s="31"/>
      <c r="H168" s="31"/>
      <c r="I168" s="9"/>
      <c r="J168" s="31"/>
      <c r="K168" s="31"/>
      <c r="L168" s="31"/>
      <c r="M168" s="27"/>
      <c r="N168" s="27"/>
      <c r="O168" s="27"/>
      <c r="P168" s="34">
        <v>1</v>
      </c>
      <c r="Q168" s="31"/>
      <c r="R168" s="31"/>
    </row>
    <row r="169" spans="1:18" s="5" customFormat="1" ht="20" x14ac:dyDescent="0.35">
      <c r="A169" s="8">
        <f>MAX($A$10:A168,0)+1</f>
        <v>147</v>
      </c>
      <c r="B169" s="8"/>
      <c r="C169" s="10" t="s">
        <v>209</v>
      </c>
      <c r="D169" s="45" t="s">
        <v>207</v>
      </c>
      <c r="E169" s="31"/>
      <c r="F169" s="31"/>
      <c r="G169" s="31"/>
      <c r="H169" s="31"/>
      <c r="I169" s="9"/>
      <c r="J169" s="31"/>
      <c r="K169" s="31"/>
      <c r="L169" s="31"/>
      <c r="M169" s="27"/>
      <c r="N169" s="27"/>
      <c r="O169" s="27"/>
      <c r="P169" s="34">
        <v>1</v>
      </c>
      <c r="Q169" s="31"/>
      <c r="R169" s="31"/>
    </row>
    <row r="170" spans="1:18" s="5" customFormat="1" ht="20" x14ac:dyDescent="0.35">
      <c r="A170" s="8">
        <f>MAX($A$10:A169,0)+1</f>
        <v>148</v>
      </c>
      <c r="B170" s="8"/>
      <c r="C170" s="10" t="s">
        <v>210</v>
      </c>
      <c r="D170" s="45" t="s">
        <v>207</v>
      </c>
      <c r="E170" s="31"/>
      <c r="F170" s="31"/>
      <c r="G170" s="31"/>
      <c r="H170" s="31"/>
      <c r="I170" s="9"/>
      <c r="J170" s="31"/>
      <c r="K170" s="31"/>
      <c r="L170" s="31"/>
      <c r="M170" s="27"/>
      <c r="N170" s="27"/>
      <c r="O170" s="27"/>
      <c r="P170" s="34">
        <v>1</v>
      </c>
      <c r="Q170" s="31"/>
      <c r="R170" s="31"/>
    </row>
    <row r="171" spans="1:18" s="5" customFormat="1" ht="10.5" x14ac:dyDescent="0.35">
      <c r="A171" s="22"/>
      <c r="B171" s="26" t="s">
        <v>211</v>
      </c>
      <c r="C171" s="24"/>
      <c r="D171" s="24"/>
      <c r="E171" s="29"/>
      <c r="F171" s="29"/>
      <c r="G171" s="29"/>
      <c r="H171" s="29"/>
      <c r="I171" s="25"/>
      <c r="J171" s="29"/>
      <c r="K171" s="29"/>
      <c r="L171" s="29"/>
      <c r="M171" s="29"/>
      <c r="N171" s="29"/>
      <c r="O171" s="29"/>
      <c r="P171" s="29"/>
      <c r="Q171" s="29"/>
      <c r="R171" s="29"/>
    </row>
    <row r="172" spans="1:18" s="5" customFormat="1" ht="40" x14ac:dyDescent="0.35">
      <c r="A172" s="8">
        <f>MAX($A$10:A171,0)+1</f>
        <v>149</v>
      </c>
      <c r="B172" s="8"/>
      <c r="C172" s="10" t="s">
        <v>212</v>
      </c>
      <c r="D172" s="45" t="s">
        <v>213</v>
      </c>
      <c r="E172" s="31"/>
      <c r="F172" s="31"/>
      <c r="G172" s="31"/>
      <c r="H172" s="31"/>
      <c r="I172" s="9"/>
      <c r="J172" s="31"/>
      <c r="K172" s="31"/>
      <c r="L172" s="31"/>
      <c r="M172" s="27"/>
      <c r="N172" s="27"/>
      <c r="O172" s="27"/>
      <c r="P172" s="34">
        <v>1</v>
      </c>
      <c r="Q172" s="31"/>
      <c r="R172" s="31"/>
    </row>
    <row r="173" spans="1:18" s="5" customFormat="1" ht="20" x14ac:dyDescent="0.35">
      <c r="A173" s="8">
        <f>MAX($A$10:A172,0)+1</f>
        <v>150</v>
      </c>
      <c r="B173" s="8"/>
      <c r="C173" s="10" t="s">
        <v>214</v>
      </c>
      <c r="D173" s="45" t="s">
        <v>213</v>
      </c>
      <c r="E173" s="31"/>
      <c r="F173" s="31"/>
      <c r="G173" s="31"/>
      <c r="H173" s="31"/>
      <c r="I173" s="9"/>
      <c r="J173" s="31"/>
      <c r="K173" s="31"/>
      <c r="L173" s="31"/>
      <c r="M173" s="27"/>
      <c r="N173" s="27"/>
      <c r="O173" s="27"/>
      <c r="P173" s="34">
        <v>1</v>
      </c>
      <c r="Q173" s="31"/>
      <c r="R173" s="31"/>
    </row>
    <row r="174" spans="1:18" s="5" customFormat="1" ht="20" x14ac:dyDescent="0.35">
      <c r="A174" s="8">
        <f>MAX($A$10:A173,0)+1</f>
        <v>151</v>
      </c>
      <c r="B174" s="8"/>
      <c r="C174" s="10" t="s">
        <v>215</v>
      </c>
      <c r="D174" s="45" t="s">
        <v>213</v>
      </c>
      <c r="E174" s="31"/>
      <c r="F174" s="31"/>
      <c r="G174" s="31"/>
      <c r="H174" s="31"/>
      <c r="I174" s="9"/>
      <c r="J174" s="31"/>
      <c r="K174" s="31"/>
      <c r="L174" s="31"/>
      <c r="M174" s="27"/>
      <c r="N174" s="27"/>
      <c r="O174" s="27"/>
      <c r="P174" s="34">
        <v>1</v>
      </c>
      <c r="Q174" s="31"/>
      <c r="R174" s="31"/>
    </row>
    <row r="175" spans="1:18" s="5" customFormat="1" ht="20" x14ac:dyDescent="0.35">
      <c r="A175" s="8">
        <f>MAX($A$10:A174,0)+1</f>
        <v>152</v>
      </c>
      <c r="B175" s="8"/>
      <c r="C175" s="10" t="s">
        <v>216</v>
      </c>
      <c r="D175" s="45" t="s">
        <v>213</v>
      </c>
      <c r="E175" s="31"/>
      <c r="F175" s="31"/>
      <c r="G175" s="31"/>
      <c r="H175" s="31"/>
      <c r="I175" s="9"/>
      <c r="J175" s="31"/>
      <c r="K175" s="31"/>
      <c r="L175" s="31"/>
      <c r="M175" s="27"/>
      <c r="N175" s="27"/>
      <c r="O175" s="27"/>
      <c r="P175" s="34">
        <v>1</v>
      </c>
      <c r="Q175" s="31"/>
      <c r="R175" s="31"/>
    </row>
    <row r="176" spans="1:18" s="5" customFormat="1" ht="20" x14ac:dyDescent="0.35">
      <c r="A176" s="8">
        <f>MAX($A$10:A175,0)+1</f>
        <v>153</v>
      </c>
      <c r="B176" s="8"/>
      <c r="C176" s="10" t="s">
        <v>217</v>
      </c>
      <c r="D176" s="45" t="s">
        <v>213</v>
      </c>
      <c r="E176" s="31"/>
      <c r="F176" s="31"/>
      <c r="G176" s="31"/>
      <c r="H176" s="31"/>
      <c r="I176" s="9"/>
      <c r="J176" s="31"/>
      <c r="K176" s="31"/>
      <c r="L176" s="31"/>
      <c r="M176" s="27"/>
      <c r="N176" s="27"/>
      <c r="O176" s="27"/>
      <c r="P176" s="34">
        <v>1</v>
      </c>
      <c r="Q176" s="31"/>
      <c r="R176" s="31"/>
    </row>
    <row r="177" spans="1:18" s="5" customFormat="1" ht="20" x14ac:dyDescent="0.35">
      <c r="A177" s="8">
        <f>MAX($A$10:A176,0)+1</f>
        <v>154</v>
      </c>
      <c r="B177" s="8"/>
      <c r="C177" s="10" t="s">
        <v>218</v>
      </c>
      <c r="D177" s="45" t="s">
        <v>213</v>
      </c>
      <c r="E177" s="31"/>
      <c r="F177" s="31"/>
      <c r="G177" s="31"/>
      <c r="H177" s="31"/>
      <c r="I177" s="9"/>
      <c r="J177" s="31"/>
      <c r="K177" s="31"/>
      <c r="L177" s="31"/>
      <c r="M177" s="27"/>
      <c r="N177" s="27"/>
      <c r="O177" s="27"/>
      <c r="P177" s="34">
        <v>1</v>
      </c>
      <c r="Q177" s="31"/>
      <c r="R177" s="31"/>
    </row>
    <row r="178" spans="1:18" s="5" customFormat="1" ht="30" x14ac:dyDescent="0.35">
      <c r="A178" s="8">
        <f>MAX($A$10:A177,0)+1</f>
        <v>155</v>
      </c>
      <c r="B178" s="8"/>
      <c r="C178" s="10" t="s">
        <v>219</v>
      </c>
      <c r="D178" s="45" t="s">
        <v>213</v>
      </c>
      <c r="E178" s="31"/>
      <c r="F178" s="31"/>
      <c r="G178" s="31"/>
      <c r="H178" s="31"/>
      <c r="I178" s="9"/>
      <c r="J178" s="31"/>
      <c r="K178" s="31"/>
      <c r="L178" s="31"/>
      <c r="M178" s="27"/>
      <c r="N178" s="27"/>
      <c r="O178" s="27"/>
      <c r="P178" s="34">
        <v>1</v>
      </c>
      <c r="Q178" s="31"/>
      <c r="R178" s="31"/>
    </row>
    <row r="179" spans="1:18" s="5" customFormat="1" ht="20" x14ac:dyDescent="0.35">
      <c r="A179" s="8">
        <f>MAX($A$10:A178,0)+1</f>
        <v>156</v>
      </c>
      <c r="B179" s="8"/>
      <c r="C179" s="10" t="s">
        <v>220</v>
      </c>
      <c r="D179" s="45" t="s">
        <v>213</v>
      </c>
      <c r="E179" s="31"/>
      <c r="F179" s="31"/>
      <c r="G179" s="31"/>
      <c r="H179" s="31"/>
      <c r="I179" s="9"/>
      <c r="J179" s="31"/>
      <c r="K179" s="31"/>
      <c r="L179" s="31"/>
      <c r="M179" s="27"/>
      <c r="N179" s="27"/>
      <c r="O179" s="27"/>
      <c r="P179" s="34">
        <v>1</v>
      </c>
      <c r="Q179" s="31"/>
      <c r="R179" s="31"/>
    </row>
    <row r="180" spans="1:18" s="5" customFormat="1" ht="20" x14ac:dyDescent="0.35">
      <c r="A180" s="8">
        <f>MAX($A$10:A179,0)+1</f>
        <v>157</v>
      </c>
      <c r="B180" s="8"/>
      <c r="C180" s="10" t="s">
        <v>221</v>
      </c>
      <c r="D180" s="45" t="s">
        <v>213</v>
      </c>
      <c r="E180" s="31"/>
      <c r="F180" s="31"/>
      <c r="G180" s="31"/>
      <c r="H180" s="31"/>
      <c r="I180" s="9"/>
      <c r="J180" s="31"/>
      <c r="K180" s="31"/>
      <c r="L180" s="31"/>
      <c r="M180" s="27"/>
      <c r="N180" s="27"/>
      <c r="O180" s="27"/>
      <c r="P180" s="34">
        <v>1</v>
      </c>
      <c r="Q180" s="31"/>
      <c r="R180" s="31"/>
    </row>
    <row r="181" spans="1:18" s="5" customFormat="1" ht="20" x14ac:dyDescent="0.35">
      <c r="A181" s="8">
        <f>MAX($A$10:A180,0)+1</f>
        <v>158</v>
      </c>
      <c r="B181" s="8"/>
      <c r="C181" s="10" t="s">
        <v>222</v>
      </c>
      <c r="D181" s="45" t="s">
        <v>213</v>
      </c>
      <c r="E181" s="31"/>
      <c r="F181" s="31"/>
      <c r="G181" s="31"/>
      <c r="H181" s="31"/>
      <c r="I181" s="9"/>
      <c r="J181" s="31"/>
      <c r="K181" s="31"/>
      <c r="L181" s="31"/>
      <c r="M181" s="27"/>
      <c r="N181" s="27"/>
      <c r="O181" s="27"/>
      <c r="P181" s="34">
        <v>1</v>
      </c>
      <c r="Q181" s="31"/>
      <c r="R181" s="31"/>
    </row>
    <row r="182" spans="1:18" s="5" customFormat="1" ht="20" x14ac:dyDescent="0.35">
      <c r="A182" s="8">
        <f>MAX($A$10:A181,0)+1</f>
        <v>159</v>
      </c>
      <c r="B182" s="8"/>
      <c r="C182" s="10" t="s">
        <v>223</v>
      </c>
      <c r="D182" s="45" t="s">
        <v>213</v>
      </c>
      <c r="E182" s="31"/>
      <c r="F182" s="31"/>
      <c r="G182" s="31"/>
      <c r="H182" s="31"/>
      <c r="I182" s="9"/>
      <c r="J182" s="31"/>
      <c r="K182" s="31"/>
      <c r="L182" s="31"/>
      <c r="M182" s="27"/>
      <c r="N182" s="27"/>
      <c r="O182" s="27"/>
      <c r="P182" s="34">
        <v>1</v>
      </c>
      <c r="Q182" s="31"/>
      <c r="R182" s="31"/>
    </row>
    <row r="183" spans="1:18" s="5" customFormat="1" ht="20" x14ac:dyDescent="0.35">
      <c r="A183" s="8">
        <f>MAX($A$10:A182,0)+1</f>
        <v>160</v>
      </c>
      <c r="B183" s="8"/>
      <c r="C183" s="10" t="s">
        <v>224</v>
      </c>
      <c r="D183" s="45" t="s">
        <v>213</v>
      </c>
      <c r="E183" s="31"/>
      <c r="F183" s="31"/>
      <c r="G183" s="31"/>
      <c r="H183" s="31"/>
      <c r="I183" s="9"/>
      <c r="J183" s="31"/>
      <c r="K183" s="31"/>
      <c r="L183" s="31"/>
      <c r="M183" s="27"/>
      <c r="N183" s="27"/>
      <c r="O183" s="27"/>
      <c r="P183" s="34">
        <v>1</v>
      </c>
      <c r="Q183" s="31"/>
      <c r="R183" s="31"/>
    </row>
    <row r="184" spans="1:18" s="5" customFormat="1" ht="20" x14ac:dyDescent="0.35">
      <c r="A184" s="8">
        <f>MAX($A$10:A183,0)+1</f>
        <v>161</v>
      </c>
      <c r="B184" s="8"/>
      <c r="C184" s="10" t="s">
        <v>225</v>
      </c>
      <c r="D184" s="45" t="s">
        <v>213</v>
      </c>
      <c r="E184" s="31"/>
      <c r="F184" s="31"/>
      <c r="G184" s="31"/>
      <c r="H184" s="31"/>
      <c r="I184" s="9"/>
      <c r="J184" s="31"/>
      <c r="K184" s="31"/>
      <c r="L184" s="31"/>
      <c r="M184" s="27"/>
      <c r="N184" s="27"/>
      <c r="O184" s="27"/>
      <c r="P184" s="34">
        <v>1</v>
      </c>
      <c r="Q184" s="31"/>
      <c r="R184" s="31"/>
    </row>
    <row r="185" spans="1:18" s="5" customFormat="1" ht="20" x14ac:dyDescent="0.35">
      <c r="A185" s="8">
        <f>MAX($A$10:A184,0)+1</f>
        <v>162</v>
      </c>
      <c r="B185" s="8"/>
      <c r="C185" s="10" t="s">
        <v>226</v>
      </c>
      <c r="D185" s="45" t="s">
        <v>213</v>
      </c>
      <c r="E185" s="31"/>
      <c r="F185" s="31"/>
      <c r="G185" s="31"/>
      <c r="H185" s="31"/>
      <c r="I185" s="9"/>
      <c r="J185" s="31"/>
      <c r="K185" s="31"/>
      <c r="L185" s="31"/>
      <c r="M185" s="27"/>
      <c r="N185" s="27"/>
      <c r="O185" s="27"/>
      <c r="P185" s="63">
        <v>0</v>
      </c>
      <c r="Q185" s="31"/>
      <c r="R185" s="31"/>
    </row>
    <row r="186" spans="1:18" s="5" customFormat="1" ht="20" x14ac:dyDescent="0.35">
      <c r="A186" s="8">
        <f>MAX($A$10:A185,0)+1</f>
        <v>163</v>
      </c>
      <c r="B186" s="8"/>
      <c r="C186" s="10" t="s">
        <v>227</v>
      </c>
      <c r="D186" s="45" t="s">
        <v>213</v>
      </c>
      <c r="E186" s="31"/>
      <c r="F186" s="31"/>
      <c r="G186" s="31"/>
      <c r="H186" s="31"/>
      <c r="I186" s="9"/>
      <c r="J186" s="31"/>
      <c r="K186" s="31"/>
      <c r="L186" s="31"/>
      <c r="M186" s="27"/>
      <c r="N186" s="27"/>
      <c r="O186" s="27"/>
      <c r="P186" s="34">
        <v>1</v>
      </c>
      <c r="Q186" s="31"/>
      <c r="R186" s="31"/>
    </row>
    <row r="187" spans="1:18" s="5" customFormat="1" ht="20" x14ac:dyDescent="0.35">
      <c r="A187" s="8">
        <f>MAX($A$10:A186,0)+1</f>
        <v>164</v>
      </c>
      <c r="B187" s="8"/>
      <c r="C187" s="10" t="s">
        <v>228</v>
      </c>
      <c r="D187" s="45" t="s">
        <v>213</v>
      </c>
      <c r="E187" s="31"/>
      <c r="F187" s="31"/>
      <c r="G187" s="31"/>
      <c r="H187" s="31"/>
      <c r="I187" s="9"/>
      <c r="J187" s="31"/>
      <c r="K187" s="31"/>
      <c r="L187" s="31"/>
      <c r="M187" s="27"/>
      <c r="N187" s="27"/>
      <c r="O187" s="27"/>
      <c r="P187" s="34">
        <v>1</v>
      </c>
      <c r="Q187" s="31"/>
      <c r="R187" s="31"/>
    </row>
    <row r="188" spans="1:18" s="5" customFormat="1" ht="20" x14ac:dyDescent="0.35">
      <c r="A188" s="8">
        <f>MAX($A$10:A187,0)+1</f>
        <v>165</v>
      </c>
      <c r="B188" s="8"/>
      <c r="C188" s="10" t="s">
        <v>229</v>
      </c>
      <c r="D188" s="45" t="s">
        <v>213</v>
      </c>
      <c r="E188" s="31"/>
      <c r="F188" s="31"/>
      <c r="G188" s="31"/>
      <c r="H188" s="31"/>
      <c r="I188" s="9"/>
      <c r="J188" s="31"/>
      <c r="K188" s="31"/>
      <c r="L188" s="31"/>
      <c r="M188" s="27"/>
      <c r="N188" s="27"/>
      <c r="O188" s="27"/>
      <c r="P188" s="34">
        <v>1</v>
      </c>
      <c r="Q188" s="31"/>
      <c r="R188" s="31"/>
    </row>
    <row r="189" spans="1:18" s="5" customFormat="1" ht="30" x14ac:dyDescent="0.35">
      <c r="A189" s="8">
        <f>MAX($A$10:A188,0)+1</f>
        <v>166</v>
      </c>
      <c r="B189" s="8"/>
      <c r="C189" s="10" t="s">
        <v>230</v>
      </c>
      <c r="D189" s="45" t="s">
        <v>213</v>
      </c>
      <c r="E189" s="31"/>
      <c r="F189" s="31"/>
      <c r="G189" s="31"/>
      <c r="H189" s="31"/>
      <c r="I189" s="9"/>
      <c r="J189" s="31"/>
      <c r="K189" s="31"/>
      <c r="L189" s="31"/>
      <c r="M189" s="27"/>
      <c r="N189" s="27"/>
      <c r="O189" s="27"/>
      <c r="P189" s="34">
        <v>1</v>
      </c>
      <c r="Q189" s="31"/>
      <c r="R189" s="31"/>
    </row>
    <row r="190" spans="1:18" s="5" customFormat="1" ht="10.5" x14ac:dyDescent="0.35">
      <c r="A190" s="22"/>
      <c r="B190" s="26" t="s">
        <v>231</v>
      </c>
      <c r="C190" s="24"/>
      <c r="D190" s="24"/>
      <c r="E190" s="29"/>
      <c r="F190" s="29"/>
      <c r="G190" s="29"/>
      <c r="H190" s="29"/>
      <c r="I190" s="25"/>
      <c r="J190" s="29"/>
      <c r="K190" s="29"/>
      <c r="L190" s="29"/>
      <c r="M190" s="29"/>
      <c r="N190" s="29"/>
      <c r="O190" s="29"/>
      <c r="P190" s="29"/>
      <c r="Q190" s="29"/>
      <c r="R190" s="29"/>
    </row>
    <row r="191" spans="1:18" s="5" customFormat="1" ht="30" x14ac:dyDescent="0.35">
      <c r="A191" s="8">
        <f>MAX($A$10:A190,0)+1</f>
        <v>167</v>
      </c>
      <c r="B191" s="8"/>
      <c r="C191" s="10" t="s">
        <v>232</v>
      </c>
      <c r="D191" s="45" t="s">
        <v>233</v>
      </c>
      <c r="E191" s="31"/>
      <c r="F191" s="31"/>
      <c r="G191" s="31"/>
      <c r="H191" s="31"/>
      <c r="I191" s="9"/>
      <c r="J191" s="31"/>
      <c r="K191" s="31"/>
      <c r="L191" s="31"/>
      <c r="M191" s="27"/>
      <c r="N191" s="27"/>
      <c r="O191" s="27"/>
      <c r="P191" s="34">
        <v>1</v>
      </c>
      <c r="Q191" s="31"/>
      <c r="R191" s="31"/>
    </row>
    <row r="192" spans="1:18" s="5" customFormat="1" ht="20" x14ac:dyDescent="0.35">
      <c r="A192" s="8">
        <f>MAX($A$10:A191,0)+1</f>
        <v>168</v>
      </c>
      <c r="B192" s="8"/>
      <c r="C192" s="10" t="s">
        <v>234</v>
      </c>
      <c r="D192" s="45" t="s">
        <v>233</v>
      </c>
      <c r="E192" s="31"/>
      <c r="F192" s="31"/>
      <c r="G192" s="31"/>
      <c r="H192" s="31"/>
      <c r="I192" s="9"/>
      <c r="J192" s="31"/>
      <c r="K192" s="31"/>
      <c r="L192" s="31"/>
      <c r="M192" s="27"/>
      <c r="N192" s="27"/>
      <c r="O192" s="27"/>
      <c r="P192" s="34">
        <v>1</v>
      </c>
      <c r="Q192" s="31"/>
      <c r="R192" s="31"/>
    </row>
    <row r="193" spans="1:18" s="5" customFormat="1" x14ac:dyDescent="0.35">
      <c r="A193" s="8"/>
      <c r="B193" s="8"/>
      <c r="C193" s="10"/>
      <c r="D193" s="45"/>
      <c r="E193" s="31"/>
      <c r="F193" s="31"/>
      <c r="G193" s="31"/>
      <c r="H193" s="31"/>
      <c r="I193" s="9"/>
      <c r="J193" s="31"/>
      <c r="K193" s="31"/>
      <c r="L193" s="31"/>
      <c r="M193" s="27"/>
      <c r="N193" s="27"/>
      <c r="O193" s="31"/>
      <c r="P193" s="31"/>
      <c r="Q193" s="31"/>
      <c r="R193" s="31"/>
    </row>
    <row r="194" spans="1:18" x14ac:dyDescent="0.2">
      <c r="A194" s="11"/>
      <c r="B194" s="11"/>
      <c r="C194" s="11"/>
      <c r="D194" s="11"/>
      <c r="E194" s="29"/>
      <c r="F194" s="29"/>
      <c r="G194" s="29"/>
      <c r="H194" s="29"/>
      <c r="I194" s="29"/>
      <c r="J194" s="29"/>
      <c r="K194" s="33"/>
      <c r="L194" s="33"/>
      <c r="M194" s="33"/>
      <c r="N194" s="33"/>
      <c r="O194" s="33"/>
      <c r="P194" s="33"/>
      <c r="Q194" s="33"/>
      <c r="R194" s="33"/>
    </row>
    <row r="195" spans="1:18" x14ac:dyDescent="0.2">
      <c r="M195" s="3"/>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39A3C-16ED-4BC1-A34D-FB80D86DD522}">
  <dimension ref="A1:G11"/>
  <sheetViews>
    <sheetView zoomScale="175" zoomScaleNormal="175" workbookViewId="0">
      <selection activeCell="F10" sqref="F10"/>
    </sheetView>
  </sheetViews>
  <sheetFormatPr defaultColWidth="12.54296875" defaultRowHeight="10" x14ac:dyDescent="0.2"/>
  <cols>
    <col min="1" max="1" width="3.1796875" style="1" customWidth="1"/>
    <col min="2" max="2" width="19.453125" style="1" customWidth="1"/>
    <col min="3" max="3" width="10.54296875" style="1" customWidth="1"/>
    <col min="4" max="4" width="10.26953125" style="1" customWidth="1"/>
    <col min="5" max="5" width="13.453125" style="1" customWidth="1"/>
    <col min="6" max="6" width="11.81640625" style="1" customWidth="1"/>
    <col min="7" max="7" width="39.1796875" style="1" customWidth="1"/>
    <col min="8" max="18" width="8.54296875" style="1" customWidth="1"/>
    <col min="19" max="16384" width="12.54296875" style="1"/>
  </cols>
  <sheetData>
    <row r="1" spans="1:7" ht="18" x14ac:dyDescent="0.4">
      <c r="B1" s="6" t="s">
        <v>235</v>
      </c>
      <c r="C1" s="6"/>
      <c r="D1" s="6"/>
      <c r="E1" s="6"/>
    </row>
    <row r="3" spans="1:7" x14ac:dyDescent="0.2">
      <c r="A3" s="62" t="s">
        <v>236</v>
      </c>
      <c r="B3" s="62"/>
      <c r="C3" s="62"/>
      <c r="D3" s="62"/>
      <c r="E3" s="62"/>
      <c r="F3" s="62"/>
      <c r="G3" s="62"/>
    </row>
    <row r="4" spans="1:7" ht="10.5" x14ac:dyDescent="0.2">
      <c r="B4" s="44" t="s">
        <v>237</v>
      </c>
      <c r="C4" s="44" t="s">
        <v>238</v>
      </c>
      <c r="D4" s="44" t="s">
        <v>239</v>
      </c>
      <c r="E4" s="44" t="s">
        <v>240</v>
      </c>
      <c r="F4" s="44" t="s">
        <v>241</v>
      </c>
      <c r="G4" s="44" t="s">
        <v>242</v>
      </c>
    </row>
    <row r="5" spans="1:7" ht="20" x14ac:dyDescent="0.2">
      <c r="B5" s="56" t="s">
        <v>243</v>
      </c>
      <c r="C5" s="43">
        <v>46048</v>
      </c>
      <c r="D5" s="43">
        <v>46048</v>
      </c>
      <c r="E5" s="43" t="s">
        <v>244</v>
      </c>
      <c r="F5" s="42" t="s">
        <v>245</v>
      </c>
      <c r="G5" s="38" t="s">
        <v>246</v>
      </c>
    </row>
    <row r="6" spans="1:7" x14ac:dyDescent="0.2">
      <c r="B6" s="57" t="s">
        <v>247</v>
      </c>
      <c r="C6" s="43">
        <v>46049</v>
      </c>
      <c r="D6" s="43">
        <v>46052</v>
      </c>
      <c r="E6" s="59" t="s">
        <v>248</v>
      </c>
      <c r="F6" s="42" t="s">
        <v>245</v>
      </c>
      <c r="G6" s="38" t="s">
        <v>249</v>
      </c>
    </row>
    <row r="7" spans="1:7" x14ac:dyDescent="0.2">
      <c r="B7" s="56" t="s">
        <v>250</v>
      </c>
      <c r="C7" s="43">
        <v>46049</v>
      </c>
      <c r="D7" s="43">
        <v>46052</v>
      </c>
      <c r="E7" s="43" t="s">
        <v>244</v>
      </c>
      <c r="F7" s="42" t="s">
        <v>245</v>
      </c>
      <c r="G7" s="38" t="s">
        <v>251</v>
      </c>
    </row>
    <row r="8" spans="1:7" x14ac:dyDescent="0.2">
      <c r="B8" s="57" t="s">
        <v>7</v>
      </c>
      <c r="C8" s="43">
        <v>46055</v>
      </c>
      <c r="D8" s="43">
        <v>46061</v>
      </c>
      <c r="E8" s="59" t="s">
        <v>248</v>
      </c>
      <c r="F8" s="58" t="s">
        <v>252</v>
      </c>
      <c r="G8" s="41" t="s">
        <v>253</v>
      </c>
    </row>
    <row r="9" spans="1:7" x14ac:dyDescent="0.2">
      <c r="B9" s="56" t="s">
        <v>274</v>
      </c>
      <c r="C9" s="43">
        <v>46062</v>
      </c>
      <c r="D9" s="43">
        <v>46065</v>
      </c>
      <c r="E9" s="43" t="s">
        <v>244</v>
      </c>
      <c r="F9" s="64" t="s">
        <v>252</v>
      </c>
      <c r="G9" s="41"/>
    </row>
    <row r="10" spans="1:7" x14ac:dyDescent="0.2">
      <c r="B10" s="56" t="s">
        <v>275</v>
      </c>
      <c r="C10" s="43">
        <v>46065</v>
      </c>
      <c r="D10" s="43">
        <v>46429</v>
      </c>
      <c r="E10" s="43" t="s">
        <v>244</v>
      </c>
      <c r="F10" s="64" t="s">
        <v>252</v>
      </c>
      <c r="G10" s="41"/>
    </row>
    <row r="11" spans="1:7" x14ac:dyDescent="0.2">
      <c r="B11" s="54"/>
      <c r="C11" s="54"/>
      <c r="D11" s="54"/>
      <c r="E11" s="54"/>
      <c r="F11" s="54"/>
      <c r="G11" s="55"/>
    </row>
  </sheetData>
  <conditionalFormatting sqref="F11">
    <cfRule type="containsText" dxfId="5" priority="1" operator="containsText" text="CRITICAL">
      <formula>NOT(ISERROR(SEARCH("CRITICAL",F11)))</formula>
    </cfRule>
    <cfRule type="containsText" dxfId="4" priority="2" operator="containsText" text="WARNING">
      <formula>NOT(ISERROR(SEARCH("WARNING",F11)))</formula>
    </cfRule>
    <cfRule type="containsText" dxfId="3" priority="3" operator="containsText" text="OK">
      <formula>NOT(ISERROR(SEARCH("OK",F11)))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3BD03-8776-41A9-B46D-4F5DDD62E0BB}">
  <dimension ref="B1:G19"/>
  <sheetViews>
    <sheetView topLeftCell="A7" zoomScale="115" zoomScaleNormal="115" workbookViewId="0">
      <selection activeCell="E12" sqref="E12"/>
    </sheetView>
  </sheetViews>
  <sheetFormatPr defaultColWidth="12.54296875" defaultRowHeight="10" x14ac:dyDescent="0.2"/>
  <cols>
    <col min="1" max="1" width="1.54296875" style="1" customWidth="1"/>
    <col min="2" max="2" width="18.54296875" style="1" customWidth="1"/>
    <col min="3" max="4" width="10.54296875" style="1" customWidth="1"/>
    <col min="5" max="5" width="12.54296875" style="1" customWidth="1"/>
    <col min="6" max="6" width="71.26953125" style="1" customWidth="1"/>
    <col min="7" max="7" width="38.54296875" style="1" customWidth="1"/>
    <col min="8" max="18" width="8.54296875" style="1" customWidth="1"/>
    <col min="19" max="16384" width="12.54296875" style="1"/>
  </cols>
  <sheetData>
    <row r="1" spans="2:7" ht="18" x14ac:dyDescent="0.4">
      <c r="B1" s="6" t="s">
        <v>254</v>
      </c>
      <c r="C1" s="6"/>
      <c r="D1" s="6"/>
    </row>
    <row r="2" spans="2:7" x14ac:dyDescent="0.2">
      <c r="B2" s="1" t="s">
        <v>255</v>
      </c>
    </row>
    <row r="4" spans="2:7" ht="10.5" x14ac:dyDescent="0.2">
      <c r="B4" s="44" t="s">
        <v>237</v>
      </c>
      <c r="C4" s="44" t="s">
        <v>238</v>
      </c>
      <c r="D4" s="44" t="s">
        <v>239</v>
      </c>
      <c r="E4" s="44" t="s">
        <v>241</v>
      </c>
      <c r="F4" s="44" t="s">
        <v>256</v>
      </c>
      <c r="G4" s="44" t="s">
        <v>257</v>
      </c>
    </row>
    <row r="5" spans="2:7" ht="90" x14ac:dyDescent="0.2">
      <c r="B5" s="42" t="s">
        <v>258</v>
      </c>
      <c r="C5" s="43">
        <v>45971</v>
      </c>
      <c r="D5" s="43" t="s">
        <v>259</v>
      </c>
      <c r="E5" s="42" t="s">
        <v>260</v>
      </c>
      <c r="F5" s="38" t="s">
        <v>261</v>
      </c>
      <c r="G5" s="38" t="s">
        <v>262</v>
      </c>
    </row>
    <row r="6" spans="2:7" ht="70" x14ac:dyDescent="0.2">
      <c r="B6" s="42" t="s">
        <v>263</v>
      </c>
      <c r="C6" s="43">
        <v>45971</v>
      </c>
      <c r="D6" s="43">
        <v>46003</v>
      </c>
      <c r="E6" s="42" t="s">
        <v>260</v>
      </c>
      <c r="F6" s="38" t="s">
        <v>264</v>
      </c>
      <c r="G6" s="38" t="s">
        <v>265</v>
      </c>
    </row>
    <row r="7" spans="2:7" ht="150" x14ac:dyDescent="0.2">
      <c r="B7" s="42" t="s">
        <v>266</v>
      </c>
      <c r="C7" s="43">
        <v>45971</v>
      </c>
      <c r="D7" s="43">
        <v>46038</v>
      </c>
      <c r="E7" s="42" t="s">
        <v>260</v>
      </c>
      <c r="F7" s="38" t="s">
        <v>267</v>
      </c>
      <c r="G7" s="38" t="s">
        <v>268</v>
      </c>
    </row>
    <row r="8" spans="2:7" ht="70" x14ac:dyDescent="0.2">
      <c r="B8" s="42"/>
      <c r="C8" s="43">
        <v>45971</v>
      </c>
      <c r="D8" s="43">
        <v>46038</v>
      </c>
      <c r="E8" s="42" t="s">
        <v>260</v>
      </c>
      <c r="F8" s="38" t="s">
        <v>269</v>
      </c>
      <c r="G8" s="38" t="s">
        <v>268</v>
      </c>
    </row>
    <row r="9" spans="2:7" ht="113.25" customHeight="1" x14ac:dyDescent="0.2">
      <c r="B9" s="42"/>
      <c r="C9" s="43">
        <v>45971</v>
      </c>
      <c r="D9" s="43">
        <v>46038</v>
      </c>
      <c r="E9" s="42" t="s">
        <v>260</v>
      </c>
      <c r="F9" s="38" t="s">
        <v>270</v>
      </c>
      <c r="G9" s="38"/>
    </row>
    <row r="10" spans="2:7" x14ac:dyDescent="0.2">
      <c r="B10" s="42" t="s">
        <v>271</v>
      </c>
      <c r="C10" s="43">
        <v>46038</v>
      </c>
      <c r="D10" s="43">
        <v>46052</v>
      </c>
      <c r="E10" s="42" t="s">
        <v>260</v>
      </c>
      <c r="F10" s="38"/>
      <c r="G10" s="38"/>
    </row>
    <row r="11" spans="2:7" ht="20" x14ac:dyDescent="0.2">
      <c r="B11" s="42" t="s">
        <v>272</v>
      </c>
      <c r="C11" s="43">
        <v>46049</v>
      </c>
      <c r="D11" s="43">
        <v>46052</v>
      </c>
      <c r="E11" s="42" t="s">
        <v>260</v>
      </c>
      <c r="F11" s="39"/>
      <c r="G11" s="39"/>
    </row>
    <row r="12" spans="2:7" ht="20" x14ac:dyDescent="0.2">
      <c r="B12" s="42" t="s">
        <v>273</v>
      </c>
      <c r="C12" s="43">
        <v>46055</v>
      </c>
      <c r="D12" s="43">
        <v>46061</v>
      </c>
      <c r="E12" s="58" t="s">
        <v>252</v>
      </c>
      <c r="F12" s="40"/>
      <c r="G12" s="40"/>
    </row>
    <row r="13" spans="2:7" x14ac:dyDescent="0.2">
      <c r="B13" s="42"/>
      <c r="C13" s="42"/>
      <c r="D13" s="42"/>
      <c r="E13" s="42"/>
      <c r="F13" s="41"/>
      <c r="G13" s="41"/>
    </row>
    <row r="14" spans="2:7" x14ac:dyDescent="0.2">
      <c r="B14" s="42"/>
      <c r="C14" s="42"/>
      <c r="D14" s="42"/>
      <c r="E14" s="42"/>
      <c r="F14" s="41"/>
      <c r="G14" s="41"/>
    </row>
    <row r="15" spans="2:7" x14ac:dyDescent="0.2">
      <c r="B15" s="42"/>
      <c r="C15" s="42"/>
      <c r="D15" s="42"/>
      <c r="E15" s="42"/>
      <c r="F15" s="41"/>
      <c r="G15" s="41"/>
    </row>
    <row r="16" spans="2:7" x14ac:dyDescent="0.2">
      <c r="B16" s="42"/>
      <c r="C16" s="42"/>
      <c r="D16" s="42"/>
      <c r="E16" s="42"/>
      <c r="F16" s="41"/>
      <c r="G16" s="41"/>
    </row>
    <row r="17" spans="2:7" x14ac:dyDescent="0.2">
      <c r="B17" s="42"/>
      <c r="C17" s="42"/>
      <c r="D17" s="42"/>
      <c r="E17" s="42"/>
      <c r="F17" s="41"/>
      <c r="G17" s="41"/>
    </row>
    <row r="18" spans="2:7" x14ac:dyDescent="0.2">
      <c r="B18" s="42"/>
      <c r="C18" s="42"/>
      <c r="D18" s="42"/>
      <c r="E18" s="42"/>
      <c r="F18" s="41"/>
      <c r="G18" s="41"/>
    </row>
    <row r="19" spans="2:7" x14ac:dyDescent="0.2">
      <c r="B19" s="42"/>
      <c r="C19" s="42"/>
      <c r="D19" s="42"/>
      <c r="E19" s="42"/>
      <c r="F19" s="41"/>
      <c r="G19" s="41"/>
    </row>
  </sheetData>
  <conditionalFormatting sqref="E13:E18">
    <cfRule type="containsText" dxfId="2" priority="1" operator="containsText" text="CRITICAL">
      <formula>NOT(ISERROR(SEARCH("CRITICAL",E13)))</formula>
    </cfRule>
    <cfRule type="containsText" dxfId="1" priority="2" operator="containsText" text="WARNING">
      <formula>NOT(ISERROR(SEARCH("WARNING",E13)))</formula>
    </cfRule>
    <cfRule type="containsText" dxfId="0" priority="3" operator="containsText" text="OK">
      <formula>NOT(ISERROR(SEARCH("OK",E13)))</formula>
    </cfRule>
  </conditionalFormatting>
  <hyperlinks>
    <hyperlink ref="G5" r:id="rId1" display="https://1drv.ms/w/c/e54d77a9688661eb/IQA_KvfTB94kRooViTpbHG5ZAUAsGSsDqWKU6Ph60LyEEYs?e=Ygw1hq" xr:uid="{4A03A4BE-4C8C-4DF8-88C9-BD109C953B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WBS</vt:lpstr>
      <vt:lpstr>Highlight-Milestone</vt:lpstr>
      <vt:lpstr>WorkStream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Tony Nguyen</cp:lastModifiedBy>
  <cp:revision/>
  <dcterms:created xsi:type="dcterms:W3CDTF">2023-06-12T15:04:10Z</dcterms:created>
  <dcterms:modified xsi:type="dcterms:W3CDTF">2026-01-30T11:09:55Z</dcterms:modified>
  <cp:category/>
  <cp:contentStatus/>
</cp:coreProperties>
</file>