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d.docs.live.net/e54d77a9688661eb/VNV-Project/BEEOS/SharedDocument/Weekly-Report/"/>
    </mc:Choice>
  </mc:AlternateContent>
  <xr:revisionPtr revIDLastSave="15754" documentId="11_E3635A91D89360E2088FC70966A6DD3BA462BE81" xr6:coauthVersionLast="47" xr6:coauthVersionMax="47" xr10:uidLastSave="{1C17EB1F-8A29-4837-AFF0-DB1054E99972}"/>
  <bookViews>
    <workbookView xWindow="0" yWindow="20" windowWidth="19180" windowHeight="11260" xr2:uid="{00000000-000D-0000-FFFF-FFFF00000000}"/>
  </bookViews>
  <sheets>
    <sheet name="W5-12.Dec" sheetId="20" r:id="rId1"/>
  </sheets>
  <calcPr calcId="191028"/>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9" i="20" l="1"/>
  <c r="D20" i="20" s="1"/>
  <c r="E18" i="20"/>
  <c r="C18" i="20"/>
  <c r="D21" i="20" l="1"/>
  <c r="E20" i="20"/>
  <c r="C20" i="20"/>
  <c r="C19" i="20"/>
  <c r="E19" i="20"/>
  <c r="D22" i="20" l="1"/>
  <c r="E21" i="20"/>
  <c r="C21" i="20"/>
  <c r="E22" i="20" l="1"/>
  <c r="C22" i="20"/>
  <c r="D23" i="20"/>
  <c r="D24" i="20" l="1"/>
  <c r="E23" i="20"/>
  <c r="C23" i="20"/>
  <c r="D25" i="20" l="1"/>
  <c r="E24" i="20"/>
  <c r="C24" i="20"/>
  <c r="D26" i="20" l="1"/>
  <c r="E25" i="20"/>
  <c r="C25" i="20"/>
  <c r="E26" i="20" l="1"/>
  <c r="C26" i="20"/>
  <c r="D27" i="20"/>
  <c r="D28" i="20" l="1"/>
  <c r="C27" i="20"/>
  <c r="E27" i="20"/>
  <c r="D29" i="20" l="1"/>
  <c r="E28" i="20"/>
  <c r="C28" i="20"/>
  <c r="D30" i="20" l="1"/>
  <c r="C29" i="20"/>
  <c r="E29" i="20"/>
  <c r="E30" i="20" l="1"/>
  <c r="C30" i="20"/>
</calcChain>
</file>

<file path=xl/sharedStrings.xml><?xml version="1.0" encoding="utf-8"?>
<sst xmlns="http://schemas.openxmlformats.org/spreadsheetml/2006/main" count="54" uniqueCount="43">
  <si>
    <t>Tuần</t>
  </si>
  <si>
    <t>Tên dự án</t>
  </si>
  <si>
    <t>BeeOS</t>
  </si>
  <si>
    <t>Thời gian thực hiện</t>
  </si>
  <si>
    <t>10.11.2025</t>
  </si>
  <si>
    <t>12.02.2026</t>
  </si>
  <si>
    <t>Trưởng dự án</t>
  </si>
  <si>
    <t>Tony (Vinova)</t>
  </si>
  <si>
    <t>Quản lý khách hàng</t>
  </si>
  <si>
    <t>Audrey (Vinova)</t>
  </si>
  <si>
    <t>Thông tin chung</t>
  </si>
  <si>
    <t>% hoàn thành</t>
  </si>
  <si>
    <t>Tóm lược</t>
  </si>
  <si>
    <t>Công việc trong tuần</t>
  </si>
  <si>
    <t>Dự tính tuần tiếp theo</t>
  </si>
  <si>
    <t>Những trở ngại cần hỗ trợ</t>
  </si>
  <si>
    <t>Quản lý Rủi ro</t>
  </si>
  <si>
    <t>Các mốc quan trọng</t>
  </si>
  <si>
    <t>Từ ngày</t>
  </si>
  <si>
    <t>Đến ngày</t>
  </si>
  <si>
    <t>Trạng thái</t>
  </si>
  <si>
    <t>Requirement + Design</t>
  </si>
  <si>
    <t>Đã qua</t>
  </si>
  <si>
    <t>Development</t>
  </si>
  <si>
    <t>Đang tiến hành</t>
  </si>
  <si>
    <t>Chờ đến lượt</t>
  </si>
  <si>
    <t>Links tham khảo thêm</t>
  </si>
  <si>
    <t>Tài liệu chia sẻ</t>
  </si>
  <si>
    <t>- Danh sách công việc và trạng thái
- Báo cáo tuần
&gt;&gt;&gt; Link tham khảo:  https://1drv.ms/f/c/e54d77a9688661eb/Eh-k0gWYkp9IoZHzEl4lt8gBjHtoEvToZOHHz7i9BkCHWQ?e=6ZjilW</t>
  </si>
  <si>
    <t>Other Note</t>
  </si>
  <si>
    <t>Data Migration</t>
  </si>
  <si>
    <t>BeeOS - Báo cáo - Tuần 5</t>
  </si>
  <si>
    <t>08.12.2025</t>
  </si>
  <si>
    <t>12.12.2025</t>
  </si>
  <si>
    <t>21% (+7)</t>
  </si>
  <si>
    <r>
      <rPr>
        <b/>
        <sz val="8"/>
        <color theme="1"/>
        <rFont val="Arial"/>
        <family val="2"/>
      </rPr>
      <t>Phần 1: Phân tích yêu cầu (Requirement)</t>
    </r>
    <r>
      <rPr>
        <sz val="8"/>
        <color theme="1"/>
        <rFont val="Arial"/>
        <family val="2"/>
      </rPr>
      <t xml:space="preserve">
- Tiếp tục làm rõ chi tiết yêu cầu nghiệp vụ, transfer lại cho team, hỗ trợ giả đáp những yêu cầu nghiệp vụ cho những tính năng sẽ làm trong tuần.
</t>
    </r>
    <r>
      <rPr>
        <b/>
        <sz val="8"/>
        <color theme="1"/>
        <rFont val="Arial"/>
        <family val="2"/>
      </rPr>
      <t xml:space="preserve">Phần 2: Thiết kế giao diện (Design)
</t>
    </r>
    <r>
      <rPr>
        <sz val="8"/>
        <color theme="1"/>
        <rFont val="Arial"/>
        <family val="2"/>
      </rPr>
      <t xml:space="preserve">- Tiếp tục cập nhật những phản hồi từ BeeVN (nếu có).
</t>
    </r>
    <r>
      <rPr>
        <b/>
        <sz val="8"/>
        <color theme="1"/>
        <rFont val="Arial"/>
        <family val="2"/>
      </rPr>
      <t>Phần 3: Lập trình</t>
    </r>
    <r>
      <rPr>
        <sz val="8"/>
        <color theme="1"/>
        <rFont val="Arial"/>
        <family val="2"/>
      </rPr>
      <t xml:space="preserve">
- Cấp đơn mới: Tiếp tục kiểm chứng và sửa lỗi
- Cấp đơn tái tục và phụ lục HĐ --&gt; Tiếp tục lập trình và hoàn thiện lập trình.
- Quản lý chung (Quản lý KH, quản lý công ty BH, loại hình BH, ĐK bổ xung, Phạm vi BH, Khấu trừ, Cty BH, Nhóm tổn thất, Quản lý tài khoản) --&gt; Tiếp tục lập trình và hoàn thiện lập trình.
- Di dời dữ liệu cũ: Tiếp tục di dời những dữ liệu đã chuẩn hóa và tiếp tục thảo luận thêm với BeeVN để tìm cách giải quyết.</t>
    </r>
  </si>
  <si>
    <r>
      <t>1. Team tiếp tục nghiên cứu hồ sơ dữ liệu những năm cũ chuẩn bị cho việc di dời dữ liệu cũ qua hệ thống mới (dữ liệu lưu trong database, dữ liệu file/folder)
  &gt;&gt;&gt; Dự kiến import 1 số dữ liệu cơ bản Cấp đơn vào database (Hạn định: 19.12.2025 (</t>
    </r>
    <r>
      <rPr>
        <i/>
        <sz val="8"/>
        <color theme="1"/>
        <rFont val="Arial"/>
        <family val="2"/>
      </rPr>
      <t>Hạn định cũ: 12.12.2025)</t>
    </r>
    <r>
      <rPr>
        <sz val="8"/>
        <color theme="1"/>
        <rFont val="Arial"/>
        <family val="2"/>
      </rPr>
      <t xml:space="preserve">) </t>
    </r>
  </si>
  <si>
    <r>
      <t>Rủi ro #1: Di dời dữ liệu cũ (data migration): Có thể sẽ mất nhiều thời gian nghiên cứu và không đáp ứng di dời được hết toàn bộ dữ liệu cũ.
  + (Xong) BeeVN đã cung cấp file excels (tổng hợp theo dõi cấp đơn (mock), theo dõi trạng thái bồi thường (mock)) và files/folders để team tham khảo.
&gt;&gt;&gt; (</t>
    </r>
    <r>
      <rPr>
        <sz val="8"/>
        <color rgb="FF0000FF"/>
        <rFont val="Arial"/>
        <family val="2"/>
      </rPr>
      <t>Đang tiến hành</t>
    </r>
    <r>
      <rPr>
        <sz val="8"/>
        <color theme="1"/>
        <rFont val="Arial"/>
        <family val="2"/>
      </rPr>
      <t>) Import 1 số dữ liệu cơ bản Cấp đơn vào database (Hạn định: 19.12.2025)
&gt;&gt;&gt; (</t>
    </r>
    <r>
      <rPr>
        <sz val="8"/>
        <color rgb="FF0000FF"/>
        <rFont val="Arial"/>
        <family val="2"/>
      </rPr>
      <t>Đang theo dõi</t>
    </r>
    <r>
      <rPr>
        <sz val="8"/>
        <color theme="1"/>
        <rFont val="Arial"/>
        <family val="2"/>
      </rPr>
      <t>) VNV &amp; BeeVN cần phối hợp để giài quyết những vấn đề liên quan đến dữ liệu cũ chưa được chuẩn hóa.</t>
    </r>
  </si>
  <si>
    <r>
      <rPr>
        <b/>
        <sz val="8"/>
        <color theme="1"/>
        <rFont val="Arial"/>
        <family val="2"/>
      </rPr>
      <t>Phần 1: Phân tích yêu cầu (Requirement)</t>
    </r>
    <r>
      <rPr>
        <sz val="8"/>
        <color theme="1"/>
        <rFont val="Arial"/>
        <family val="2"/>
      </rPr>
      <t xml:space="preserve">
- Tiếp tục làm rõ chi tiết yêu cầu nghiệp vụ, transfer lại cho team (Tính toán phí BH và phụ lục, trao đổi và thống nhất cách hiển thị dữ liệu yêu cầu phê duyệt bằng việc kết hợp cấp đơn và phụ lục trong 1 trang danh danh sách, bỏ qua shortcut cấp đơn khỏi màn hình dashboard cấp đơn "Nha Trang 2025", "Metropolis 2025", "Vinhomes")
</t>
    </r>
    <r>
      <rPr>
        <b/>
        <sz val="8"/>
        <color theme="1"/>
        <rFont val="Arial"/>
        <family val="2"/>
      </rPr>
      <t>Phần 2: Thiết kế giao diện (Design)</t>
    </r>
    <r>
      <rPr>
        <sz val="8"/>
        <color theme="1"/>
        <rFont val="Arial"/>
        <family val="2"/>
      </rPr>
      <t xml:space="preserve">
- Tiếp tục cập nhật những phản hồi từ BeeVN liên quan đến: Dashboard, Quản lý HĐ BH, Nhắc nhở.
- Thiết kế 1 số tính năng của phần quản lý chung:QL loại hình BH, ĐK bổ xung, Phạm vi BH, Khấu trừ, Cty BH, Nhóm tổn thất, Quản lý tài khoản.
</t>
    </r>
    <r>
      <rPr>
        <b/>
        <sz val="8"/>
        <color theme="1"/>
        <rFont val="Arial"/>
        <family val="2"/>
      </rPr>
      <t xml:space="preserve">Phần 3: Lập trình
</t>
    </r>
    <r>
      <rPr>
        <sz val="8"/>
        <color theme="1"/>
        <rFont val="Arial"/>
        <family val="2"/>
      </rPr>
      <t>- Cấp đơn mới: Đã gửi bản cài đặt cho QC để tiến hành kiểm thử.
- Cấp đơn tái tục và phụ lục HĐ --&gt; Tiếp tục lập trình
- Quản lý chung (Quản lý KH, quản lý công ty BH, loại hình BH, ĐK bổ xung, Phạm vi BH, Khấu trừ, Cty BH, Nhóm tổn thất, Quản lý tài khoản) --&gt; Tạm dừng để hoàn thiện design layout trước.
- Di dời dữ liệu cũ --&gt; Bắt đầu tiến hành. Đã phát hiện những hạn chế và đang thảo luận thêm với BeeVN để tìm cách giải quyết.</t>
    </r>
  </si>
  <si>
    <r>
      <t>File tham khảo "</t>
    </r>
    <r>
      <rPr>
        <b/>
        <sz val="8"/>
        <color theme="1"/>
        <rFont val="Arial"/>
        <family val="2"/>
      </rPr>
      <t>tổng hợp theo dõi cấp đơn</t>
    </r>
    <r>
      <rPr>
        <sz val="8"/>
        <color theme="1"/>
        <rFont val="Arial"/>
        <family val="2"/>
      </rPr>
      <t xml:space="preserve"> - file excel"
Vấn đề đang gặp:
1. Đối tượng BH đang không theo 1 quy tắc đặt tên chuẩn (ví dụ: Phụ lục HĐ mua BHTS bổ sung cho TTTM Vincom Đông Hà - Quảng Trị ) --&gt; rất khó để dò tim và so sách.
2. Số tiền BH không theo quy chuẩn (ví dụ: Nha Trang, Đà Nẵng, Phú Quốc: 5,000,000 USD/vụ, Còn lại: 3,000,000 USD/vụ)
3. Có dữ liệu phụ lục HĐ nhưng chưa được liên kết với HĐ chính, nên rất khó xác định mối liên hệ.
4. Dữ liệu về cty BH chưa nhất quán. Nên sử dụng mã code hay nhập lại cùng tên cho đồng bộ.
5. Sẽ mất thời gian để mapping P&amp;L và đối tượng được BH để tự động thêm vào DB.
6. Cần thời gian để kiểm tra loại hình BH. Vì liên quan đến phạm vi BH, điều khoản.
7. Cần chuẩn hóa tỉ lệ phí. Đang có cả text.
8. Thời gian đang chưa đúng định dạng (ví dụ: dd/mm/yyyy) . Đang có cả text, chứa nhiều cột mốc. Cần có biện pháp xử lý.
Đề xuất:
(Đã cung cấp) 1. BeeVN sẽ cung cấp toàn bộ dữ liệu cũ đầy đủ nhất có thể cần import (~ 300 bộ hồ sơ). (và cả files/folders có liên quan)
(Bỏ qua) 2. Team dự án sẽ tự định nghĩa 1 template import mới, cố gắng trích xuất data từ dữ liệu BeeVN cung cấp đưa qua template mới, chỉnh sửa lại cho hợp lý (gần đúng nhất có thể)
(</t>
    </r>
    <r>
      <rPr>
        <sz val="8"/>
        <color rgb="FF0000FF"/>
        <rFont val="Arial"/>
        <family val="2"/>
      </rPr>
      <t>Đang tiến hành</t>
    </r>
    <r>
      <rPr>
        <sz val="8"/>
        <color theme="1"/>
        <rFont val="Arial"/>
        <family val="2"/>
      </rPr>
      <t xml:space="preserve">) 3. BeeVN kiểm tra lại, chỉnh sửa, xác nhận dữ liệu từ file template mới đã hợp lệ, cho phép import vào database.
</t>
    </r>
    <r>
      <rPr>
        <i/>
        <u/>
        <sz val="8"/>
        <color theme="1"/>
        <rFont val="Arial"/>
        <family val="2"/>
      </rPr>
      <t>Chú ý:</t>
    </r>
    <r>
      <rPr>
        <sz val="8"/>
        <color theme="1"/>
        <rFont val="Arial"/>
        <family val="2"/>
      </rPr>
      <t xml:space="preserve"> Dữ liệu này cũng được xem như dữ liệu thật sẽ được dùng cho production sau này. </t>
    </r>
  </si>
  <si>
    <t xml:space="preserve">Những điểm nổi bật:
- Tiếp tục làm rõ 1 số yêu cầu nghiệp vụ, cập nhật lại phần thiết kế dựa trên những phản hồi từ BeeVN.
- Bắt đầu tiến hành thừ nghiệm di dời dữ liệu cũ vào hệ thống.  
- Tiếp tục lập trình luồng cấp đơn và những tính năng phụ thuộc khác có liên quan.(thêm phần tạo tái tục và tạo phụ lục HĐ)
</t>
  </si>
  <si>
    <t>Thử nghiệm</t>
  </si>
  <si>
    <t>Sử dụng thực tế</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</si>
</sst>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dd/mm/yyyy;@"/>
    <numFmt numFmtId="165" formatCode="[$-14809]d\ mmm\ yyyy;@"/>
  </numFmts>
  <fonts count="12" x14ac:knownFonts="1">
    <font>
      <sz val="11"/>
      <color theme="1"/>
      <name val="Calibri"/>
      <family val="2"/>
      <scheme val="minor"/>
    </font>
    <font>
      <sz val="8"/>
      <color theme="1"/>
      <name val="Arial"/>
      <family val="2"/>
    </font>
    <font>
      <b/>
      <sz val="8"/>
      <color theme="1"/>
      <name val="Arial"/>
      <family val="2"/>
    </font>
    <font>
      <sz val="8"/>
      <color rgb="FFFF0000"/>
      <name val="Arial"/>
      <family val="2"/>
    </font>
    <font>
      <sz val="8"/>
      <color rgb="FF000000"/>
      <name val="Arial"/>
      <family val="2"/>
    </font>
    <font>
      <sz val="8"/>
      <color rgb="FF0000FF"/>
      <name val="Arial"/>
      <family val="2"/>
    </font>
    <font>
      <b/>
      <sz val="14"/>
      <color rgb="FF000000"/>
      <name val="Arial"/>
      <family val="2"/>
    </font>
    <font>
      <b/>
      <sz val="8"/>
      <color rgb="FFFFFFFF"/>
      <name val="Arial"/>
      <family val="2"/>
    </font>
    <font>
      <sz val="8"/>
      <name val="Arial"/>
      <family val="2"/>
    </font>
    <font>
      <sz val="8"/>
      <color theme="5"/>
      <name val="Arial"/>
      <family val="2"/>
    </font>
    <font>
      <i/>
      <sz val="8"/>
      <color theme="1"/>
      <name val="Arial"/>
      <family val="2"/>
    </font>
    <font>
      <i/>
      <u/>
      <sz val="8"/>
      <color theme="1"/>
      <name val="Arial"/>
      <family val="2"/>
    </font>
  </fonts>
  <fills count="3">
    <fill>
      <patternFill patternType="none"/>
    </fill>
    <fill>
      <patternFill patternType="gray125"/>
    </fill>
    <fill>
      <patternFill patternType="solid">
        <fgColor rgb="FF335593"/>
      </patternFill>
    </fill>
  </fills>
  <borders count="5">
    <border>
      <left/>
      <right/>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s>
  <cellStyleXfs count="1">
    <xf numFmtId="0" fontId="0" fillId="0" borderId="0"/>
  </cellStyleXfs>
  <cellXfs count="28">
    <xf numFmtId="0" fontId="0" fillId="0" borderId="0" xfId="0"/>
    <xf numFmtId="0" fontId="1" fillId="0" borderId="0" xfId="0" applyFont="1"/>
    <xf numFmtId="0" fontId="6" fillId="0" borderId="0" xfId="0" applyFont="1"/>
    <xf numFmtId="0" fontId="1" fillId="0" borderId="1" xfId="0" applyFont="1" applyBorder="1" applyAlignment="1">
      <alignment vertical="top" wrapText="1"/>
    </xf>
    <xf numFmtId="0" fontId="2" fillId="0" borderId="0" xfId="0" applyFont="1" applyAlignment="1">
      <alignment wrapText="1"/>
    </xf>
    <xf numFmtId="0" fontId="1" fillId="0" borderId="0" xfId="0" applyFont="1" applyAlignment="1">
      <alignment wrapText="1"/>
    </xf>
    <xf numFmtId="0" fontId="4" fillId="0" borderId="0" xfId="0" applyFont="1" applyAlignment="1">
      <alignment horizontal="left"/>
    </xf>
    <xf numFmtId="0" fontId="4" fillId="0" borderId="0" xfId="0" applyFont="1" applyAlignment="1">
      <alignment horizontal="left" wrapText="1"/>
    </xf>
    <xf numFmtId="0" fontId="7" fillId="2" borderId="1" xfId="0" applyFont="1" applyFill="1" applyBorder="1" applyAlignment="1">
      <alignment vertical="top"/>
    </xf>
    <xf numFmtId="164" fontId="1" fillId="0" borderId="1" xfId="0" applyNumberFormat="1" applyFont="1" applyBorder="1" applyAlignment="1">
      <alignment horizontal="left" vertical="top"/>
    </xf>
    <xf numFmtId="0" fontId="1" fillId="0" borderId="0" xfId="0" applyFont="1" applyAlignment="1">
      <alignment vertical="top"/>
    </xf>
    <xf numFmtId="0" fontId="1" fillId="0" borderId="1" xfId="0" applyFont="1" applyBorder="1" applyAlignment="1">
      <alignment vertical="top"/>
    </xf>
    <xf numFmtId="17" fontId="1" fillId="0" borderId="1" xfId="0" applyNumberFormat="1" applyFont="1" applyBorder="1" applyAlignment="1">
      <alignment horizontal="left" vertical="center"/>
    </xf>
    <xf numFmtId="165" fontId="1" fillId="0" borderId="1" xfId="0" applyNumberFormat="1" applyFont="1" applyBorder="1" applyAlignment="1">
      <alignment horizontal="left" vertical="center"/>
    </xf>
    <xf numFmtId="15" fontId="8" fillId="0" borderId="1" xfId="0" applyNumberFormat="1" applyFont="1" applyBorder="1" applyAlignment="1">
      <alignment vertical="center" wrapText="1"/>
    </xf>
    <xf numFmtId="0" fontId="3" fillId="0" borderId="1" xfId="0" applyFont="1" applyBorder="1" applyAlignment="1">
      <alignment vertical="top"/>
    </xf>
    <xf numFmtId="0" fontId="1" fillId="0" borderId="1" xfId="0" quotePrefix="1" applyFont="1" applyBorder="1" applyAlignment="1">
      <alignment vertical="top"/>
    </xf>
    <xf numFmtId="9" fontId="5" fillId="0" borderId="1" xfId="0" applyNumberFormat="1" applyFont="1" applyBorder="1" applyAlignment="1">
      <alignment horizontal="left" vertical="top"/>
    </xf>
    <xf numFmtId="15" fontId="5" fillId="0" borderId="1" xfId="0" applyNumberFormat="1" applyFont="1" applyBorder="1" applyAlignment="1">
      <alignment vertical="center" wrapText="1"/>
    </xf>
    <xf numFmtId="15" fontId="1" fillId="0" borderId="1" xfId="0" applyNumberFormat="1" applyFont="1" applyBorder="1" applyAlignment="1">
      <alignment vertical="center" wrapText="1"/>
    </xf>
    <xf numFmtId="15" fontId="9" fillId="0" borderId="1" xfId="0" applyNumberFormat="1" applyFont="1" applyBorder="1" applyAlignment="1">
      <alignment vertical="center" wrapText="1"/>
    </xf>
    <xf numFmtId="0" fontId="1" fillId="0" borderId="1" xfId="0" applyFont="1" applyBorder="1" applyAlignment="1">
      <alignment horizontal="left" vertical="top"/>
    </xf>
    <xf numFmtId="0" fontId="1" fillId="0" borderId="1" xfId="0" quotePrefix="1" applyFont="1" applyBorder="1" applyAlignment="1">
      <alignment horizontal="left" vertical="top" wrapText="1"/>
    </xf>
    <xf numFmtId="0" fontId="1" fillId="0" borderId="1" xfId="0" applyFont="1" applyBorder="1" applyAlignment="1">
      <alignment horizontal="left" vertical="top" wrapText="1"/>
    </xf>
    <xf numFmtId="0" fontId="1" fillId="0" borderId="1" xfId="0" applyFont="1" applyBorder="1" applyAlignment="1">
      <alignment horizontal="left" vertical="top"/>
    </xf>
    <xf numFmtId="0" fontId="1" fillId="0" borderId="2" xfId="0" quotePrefix="1" applyFont="1" applyBorder="1" applyAlignment="1">
      <alignment horizontal="left" vertical="top" wrapText="1"/>
    </xf>
    <xf numFmtId="0" fontId="1" fillId="0" borderId="3" xfId="0" quotePrefix="1" applyFont="1" applyBorder="1" applyAlignment="1">
      <alignment horizontal="left" vertical="top" wrapText="1"/>
    </xf>
    <xf numFmtId="0" fontId="1" fillId="0" borderId="4" xfId="0" quotePrefix="1" applyFont="1" applyBorder="1" applyAlignment="1">
      <alignment horizontal="left" vertical="top" wrapText="1"/>
    </xf>
  </cellXfs>
  <cellStyles count="1">
    <cellStyle name="Normal" xfId="0" builtinId="0"/>
  </cellStyles>
  <dxfs count="21">
    <dxf>
      <font>
        <color rgb="FF006100"/>
      </font>
      <fill>
        <patternFill patternType="solid">
          <bgColor rgb="FFC6EFCE"/>
        </patternFill>
      </fill>
    </dxf>
    <dxf>
      <font>
        <color rgb="FF9C5700"/>
      </font>
      <fill>
        <patternFill patternType="solid">
          <bgColor rgb="FFFFEB9C"/>
        </patternFill>
      </fill>
    </dxf>
    <dxf>
      <font>
        <color rgb="FF9C0006"/>
      </font>
      <fill>
        <patternFill patternType="solid">
          <bgColor rgb="FFFFC7CE"/>
        </patternFill>
      </fill>
    </dxf>
    <dxf>
      <fill>
        <patternFill patternType="solid">
          <fgColor rgb="FFDEEAF6"/>
          <bgColor rgb="FFDEEAF6"/>
        </patternFill>
      </fill>
    </dxf>
    <dxf>
      <fill>
        <patternFill patternType="solid">
          <fgColor rgb="FFBDD6EE"/>
          <bgColor rgb="FFBDD6EE"/>
        </patternFill>
      </fill>
    </dxf>
    <dxf>
      <fill>
        <patternFill patternType="solid">
          <fgColor theme="4"/>
          <bgColor theme="4"/>
        </patternFill>
      </fill>
    </dxf>
    <dxf>
      <fill>
        <patternFill patternType="solid">
          <fgColor rgb="FFDEEAF6"/>
          <bgColor rgb="FFDEEAF6"/>
        </patternFill>
      </fill>
    </dxf>
    <dxf>
      <fill>
        <patternFill patternType="solid">
          <fgColor rgb="FFBDD6EE"/>
          <bgColor rgb="FFBDD6EE"/>
        </patternFill>
      </fill>
    </dxf>
    <dxf>
      <fill>
        <patternFill patternType="solid">
          <fgColor theme="4"/>
          <bgColor theme="4"/>
        </patternFill>
      </fill>
    </dxf>
    <dxf>
      <fill>
        <patternFill patternType="solid">
          <fgColor rgb="FFDEEAF6"/>
          <bgColor rgb="FFDEEAF6"/>
        </patternFill>
      </fill>
    </dxf>
    <dxf>
      <fill>
        <patternFill patternType="solid">
          <fgColor rgb="FFBDD6EE"/>
          <bgColor rgb="FFBDD6EE"/>
        </patternFill>
      </fill>
    </dxf>
    <dxf>
      <fill>
        <patternFill patternType="solid">
          <fgColor theme="6"/>
          <bgColor theme="6"/>
        </patternFill>
      </fill>
    </dxf>
    <dxf>
      <fill>
        <patternFill patternType="solid">
          <fgColor rgb="FFDEEAF6"/>
          <bgColor rgb="FFDEEAF6"/>
        </patternFill>
      </fill>
    </dxf>
    <dxf>
      <fill>
        <patternFill patternType="solid">
          <fgColor rgb="FFBDD6EE"/>
          <bgColor rgb="FFBDD6EE"/>
        </patternFill>
      </fill>
    </dxf>
    <dxf>
      <fill>
        <patternFill patternType="solid">
          <fgColor theme="6"/>
          <bgColor theme="6"/>
        </patternFill>
      </fill>
    </dxf>
    <dxf>
      <fill>
        <patternFill patternType="solid">
          <fgColor rgb="FFDEEAF6"/>
          <bgColor rgb="FFDEEAF6"/>
        </patternFill>
      </fill>
    </dxf>
    <dxf>
      <fill>
        <patternFill patternType="solid">
          <fgColor rgb="FFBDD6EE"/>
          <bgColor rgb="FFBDD6EE"/>
        </patternFill>
      </fill>
    </dxf>
    <dxf>
      <fill>
        <patternFill patternType="solid">
          <fgColor theme="6"/>
          <bgColor theme="6"/>
        </patternFill>
      </fill>
    </dxf>
    <dxf>
      <fill>
        <patternFill patternType="solid">
          <fgColor rgb="FFDEEAF6"/>
          <bgColor rgb="FFDEEAF6"/>
        </patternFill>
      </fill>
    </dxf>
    <dxf>
      <fill>
        <patternFill patternType="solid">
          <fgColor rgb="FFBDD6EE"/>
          <bgColor rgb="FFBDD6EE"/>
        </patternFill>
      </fill>
    </dxf>
    <dxf>
      <fill>
        <patternFill patternType="solid">
          <fgColor theme="6"/>
          <bgColor theme="6"/>
        </patternFill>
      </fill>
    </dxf>
  </dxfs>
  <tableStyles count="6" defaultTableStyle="TableStyleMedium9" defaultPivotStyle="PivotStyleLight16">
    <tableStyle name="Data-Setting-style" pivot="0" count="3" xr9:uid="{4B45045E-69E0-4519-98F5-E409C16A6FC7}">
      <tableStyleElement type="headerRow" dxfId="20"/>
      <tableStyleElement type="firstRowStripe" dxfId="19"/>
      <tableStyleElement type="secondRowStripe" dxfId="18"/>
    </tableStyle>
    <tableStyle name="Data-Setting-style 2" pivot="0" count="3" xr9:uid="{F12F8E63-734F-49D8-85F7-79F1FD57249B}">
      <tableStyleElement type="headerRow" dxfId="17"/>
      <tableStyleElement type="firstRowStripe" dxfId="16"/>
      <tableStyleElement type="secondRowStripe" dxfId="15"/>
    </tableStyle>
    <tableStyle name="Data-Setting-style 2 2" pivot="0" count="3" xr9:uid="{79E30646-064A-4E6E-8C9F-57538C0B5892}">
      <tableStyleElement type="headerRow" dxfId="14"/>
      <tableStyleElement type="firstRowStripe" dxfId="13"/>
      <tableStyleElement type="secondRowStripe" dxfId="12"/>
    </tableStyle>
    <tableStyle name="Data-Setting-style 3" pivot="0" count="3" xr9:uid="{748AF462-EF03-40A7-AD83-8E24EFF3BFE6}">
      <tableStyleElement type="headerRow" dxfId="11"/>
      <tableStyleElement type="firstRowStripe" dxfId="10"/>
      <tableStyleElement type="secondRowStripe" dxfId="9"/>
    </tableStyle>
    <tableStyle name="RAWDATA-TS-style" pivot="0" count="3" xr9:uid="{2BC226EA-1B29-412A-A5BA-A90EEF355ED0}">
      <tableStyleElement type="headerRow" dxfId="8"/>
      <tableStyleElement type="firstRowStripe" dxfId="7"/>
      <tableStyleElement type="secondRowStripe" dxfId="6"/>
    </tableStyle>
    <tableStyle name="RAWDATA-TS-style 2" pivot="0" count="3" xr9:uid="{3DB890DF-76BD-40EB-A90C-3ADC90244373}">
      <tableStyleElement type="headerRow" dxfId="5"/>
      <tableStyleElement type="firstRowStripe" dxfId="4"/>
      <tableStyleElement type="secondRowStripe" dxfId="3"/>
    </tableStyle>
  </tableStyles>
  <colors>
    <mruColors>
      <color rgb="FF0000FF"/>
      <color rgb="FFFFFFCC"/>
      <color rgb="FF0099CC"/>
      <color rgb="FF9933FF"/>
      <color rgb="FFFFFF99"/>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4735C-D672-4722-84DC-161CEB64ABD0}">
  <dimension ref="B1:F36"/>
  <sheetViews>
    <sheetView tabSelected="1" topLeftCell="A13" zoomScale="145" zoomScaleNormal="145" workbookViewId="0">
      <selection activeCell="I13" sqref="I13"/>
    </sheetView>
  </sheetViews>
  <sheetFormatPr defaultColWidth="8.7265625" defaultRowHeight="10" x14ac:dyDescent="0.2"/>
  <cols>
    <col min="1" max="1" width="1.54296875" style="1" customWidth="1"/>
    <col min="2" max="2" width="15.54296875" style="1" customWidth="1"/>
    <col min="3" max="3" width="10.54296875" style="1" customWidth="1"/>
    <col min="4" max="4" width="18.54296875" style="1" customWidth="1"/>
    <col min="5" max="6" width="15.54296875" style="1" customWidth="1"/>
    <col min="7" max="7" width="14.1796875" style="1" customWidth="1"/>
    <col min="8" max="16384" width="8.7265625" style="1"/>
  </cols>
  <sheetData>
    <row r="1" spans="2:6" ht="18" x14ac:dyDescent="0.4">
      <c r="B1" s="2" t="s">
        <v>31</v>
      </c>
      <c r="C1" s="4"/>
      <c r="D1" s="5"/>
    </row>
    <row r="2" spans="2:6" x14ac:dyDescent="0.2">
      <c r="B2" s="6"/>
      <c r="C2" s="7"/>
      <c r="D2" s="7"/>
    </row>
    <row r="3" spans="2:6" ht="10.5" x14ac:dyDescent="0.2">
      <c r="B3" s="8" t="s">
        <v>0</v>
      </c>
      <c r="C3" s="21" t="s">
        <v>32</v>
      </c>
      <c r="D3" s="9" t="s">
        <v>33</v>
      </c>
      <c r="E3" s="10"/>
    </row>
    <row r="4" spans="2:6" ht="10.5" x14ac:dyDescent="0.2">
      <c r="B4" s="8" t="s">
        <v>1</v>
      </c>
      <c r="C4" s="11" t="s">
        <v>2</v>
      </c>
      <c r="D4" s="10"/>
      <c r="E4" s="10"/>
    </row>
    <row r="5" spans="2:6" ht="10.5" x14ac:dyDescent="0.2">
      <c r="B5" s="8" t="s">
        <v>3</v>
      </c>
      <c r="C5" s="9" t="s">
        <v>4</v>
      </c>
      <c r="D5" s="15" t="s">
        <v>5</v>
      </c>
      <c r="E5" s="10"/>
    </row>
    <row r="6" spans="2:6" ht="10.5" x14ac:dyDescent="0.2">
      <c r="B6" s="8" t="s">
        <v>6</v>
      </c>
      <c r="C6" s="11" t="s">
        <v>7</v>
      </c>
      <c r="D6" s="8" t="s">
        <v>8</v>
      </c>
      <c r="E6" s="11" t="s">
        <v>9</v>
      </c>
    </row>
    <row r="7" spans="2:6" x14ac:dyDescent="0.2">
      <c r="B7" s="10"/>
      <c r="C7" s="10"/>
      <c r="D7" s="10"/>
      <c r="E7" s="10"/>
    </row>
    <row r="8" spans="2:6" ht="10.5" x14ac:dyDescent="0.2">
      <c r="B8" s="8" t="s">
        <v>10</v>
      </c>
      <c r="C8" s="8"/>
      <c r="D8" s="8"/>
      <c r="E8" s="8"/>
      <c r="F8" s="8"/>
    </row>
    <row r="9" spans="2:6" ht="60" customHeight="1" x14ac:dyDescent="0.2">
      <c r="B9" s="16" t="s">
        <v>11</v>
      </c>
      <c r="C9" s="17" t="s">
        <v>34</v>
      </c>
      <c r="D9" s="23" t="s">
        <v>40</v>
      </c>
      <c r="E9" s="24"/>
      <c r="F9" s="24"/>
    </row>
    <row r="10" spans="2:6" x14ac:dyDescent="0.2">
      <c r="B10" s="11"/>
      <c r="C10" s="11"/>
      <c r="D10" s="10"/>
      <c r="E10" s="10"/>
      <c r="F10" s="10"/>
    </row>
    <row r="11" spans="2:6" ht="10.5" x14ac:dyDescent="0.2">
      <c r="B11" s="8" t="s">
        <v>12</v>
      </c>
      <c r="C11" s="8"/>
      <c r="D11" s="8"/>
      <c r="E11" s="8"/>
      <c r="F11" s="8"/>
    </row>
    <row r="12" spans="2:6" ht="205" customHeight="1" x14ac:dyDescent="0.2">
      <c r="B12" s="11" t="s">
        <v>13</v>
      </c>
      <c r="C12" s="25" t="s">
        <v>38</v>
      </c>
      <c r="D12" s="26"/>
      <c r="E12" s="26"/>
      <c r="F12" s="27"/>
    </row>
    <row r="13" spans="2:6" ht="144" customHeight="1" x14ac:dyDescent="0.2">
      <c r="B13" s="11" t="s">
        <v>14</v>
      </c>
      <c r="C13" s="25" t="s">
        <v>35</v>
      </c>
      <c r="D13" s="26"/>
      <c r="E13" s="26"/>
      <c r="F13" s="27"/>
    </row>
    <row r="14" spans="2:6" ht="46" customHeight="1" x14ac:dyDescent="0.2">
      <c r="B14" s="3" t="s">
        <v>15</v>
      </c>
      <c r="C14" s="25" t="s">
        <v>36</v>
      </c>
      <c r="D14" s="26"/>
      <c r="E14" s="26"/>
      <c r="F14" s="27"/>
    </row>
    <row r="15" spans="2:6" ht="79.5" customHeight="1" x14ac:dyDescent="0.2">
      <c r="B15" s="3" t="s">
        <v>16</v>
      </c>
      <c r="C15" s="25" t="s">
        <v>37</v>
      </c>
      <c r="D15" s="26"/>
      <c r="E15" s="26"/>
      <c r="F15" s="27"/>
    </row>
    <row r="16" spans="2:6" x14ac:dyDescent="0.2">
      <c r="B16" s="10"/>
      <c r="C16" s="10"/>
      <c r="D16" s="10"/>
      <c r="E16" s="10"/>
    </row>
    <row r="17" spans="2:6" ht="10.5" x14ac:dyDescent="0.2">
      <c r="B17" s="8" t="s">
        <v>17</v>
      </c>
      <c r="C17" s="8" t="s">
        <v>0</v>
      </c>
      <c r="D17" s="8" t="s">
        <v>18</v>
      </c>
      <c r="E17" s="8" t="s">
        <v>19</v>
      </c>
      <c r="F17" s="8" t="s">
        <v>20</v>
      </c>
    </row>
    <row r="18" spans="2:6" x14ac:dyDescent="0.2">
      <c r="B18" s="12" t="s">
        <v>21</v>
      </c>
      <c r="C18" s="12" t="str">
        <f>YEAR(D18)&amp;"-"&amp;"W"&amp;TEXT(WEEKNUM(D18,21),"0#")</f>
        <v>2025-W46</v>
      </c>
      <c r="D18" s="13">
        <v>45971</v>
      </c>
      <c r="E18" s="13">
        <f xml:space="preserve"> D18+(6-WEEKDAY(D18,3))</f>
        <v>45977</v>
      </c>
      <c r="F18" s="19" t="s">
        <v>22</v>
      </c>
    </row>
    <row r="19" spans="2:6" x14ac:dyDescent="0.2">
      <c r="B19" s="12"/>
      <c r="C19" s="12" t="str">
        <f>YEAR(D19)&amp;"-"&amp;"W"&amp;TEXT(WEEKNUM(D19,21),"0#")</f>
        <v>2025-W47</v>
      </c>
      <c r="D19" s="13">
        <f>D18+( 7-WEEKDAY(D18,3))</f>
        <v>45978</v>
      </c>
      <c r="E19" s="13">
        <f xml:space="preserve"> D19+(6-WEEKDAY(D19,3))</f>
        <v>45984</v>
      </c>
      <c r="F19" s="19" t="s">
        <v>22</v>
      </c>
    </row>
    <row r="20" spans="2:6" x14ac:dyDescent="0.2">
      <c r="B20" s="12" t="s">
        <v>23</v>
      </c>
      <c r="C20" s="12" t="str">
        <f t="shared" ref="C20:C30" si="0">YEAR(D20)&amp;"-"&amp;"W"&amp;TEXT(WEEKNUM(D20,21),"0#")</f>
        <v>2025-W48</v>
      </c>
      <c r="D20" s="13">
        <f t="shared" ref="D20:D30" si="1">D19+( 7-WEEKDAY(D19,3))</f>
        <v>45985</v>
      </c>
      <c r="E20" s="13">
        <f t="shared" ref="E20:E30" si="2" xml:space="preserve"> D20+(6-WEEKDAY(D20,3))</f>
        <v>45991</v>
      </c>
      <c r="F20" s="19" t="s">
        <v>22</v>
      </c>
    </row>
    <row r="21" spans="2:6" x14ac:dyDescent="0.2">
      <c r="B21" s="12"/>
      <c r="C21" s="12" t="str">
        <f t="shared" si="0"/>
        <v>2025-W49</v>
      </c>
      <c r="D21" s="13">
        <f t="shared" si="1"/>
        <v>45992</v>
      </c>
      <c r="E21" s="13">
        <f t="shared" si="2"/>
        <v>45998</v>
      </c>
      <c r="F21" s="19" t="s">
        <v>22</v>
      </c>
    </row>
    <row r="22" spans="2:6" x14ac:dyDescent="0.2">
      <c r="B22" s="12"/>
      <c r="C22" s="12" t="str">
        <f t="shared" si="0"/>
        <v>2025-W50</v>
      </c>
      <c r="D22" s="13">
        <f t="shared" si="1"/>
        <v>45999</v>
      </c>
      <c r="E22" s="13">
        <f t="shared" si="2"/>
        <v>46005</v>
      </c>
      <c r="F22" s="18" t="s">
        <v>24</v>
      </c>
    </row>
    <row r="23" spans="2:6" x14ac:dyDescent="0.2">
      <c r="B23" s="12"/>
      <c r="C23" s="12" t="str">
        <f t="shared" si="0"/>
        <v>2025-W51</v>
      </c>
      <c r="D23" s="13">
        <f t="shared" si="1"/>
        <v>46006</v>
      </c>
      <c r="E23" s="13">
        <f t="shared" si="2"/>
        <v>46012</v>
      </c>
      <c r="F23" s="20" t="s">
        <v>25</v>
      </c>
    </row>
    <row r="24" spans="2:6" x14ac:dyDescent="0.2">
      <c r="B24" s="12"/>
      <c r="C24" s="12" t="str">
        <f t="shared" si="0"/>
        <v>2025-W52</v>
      </c>
      <c r="D24" s="13">
        <f t="shared" si="1"/>
        <v>46013</v>
      </c>
      <c r="E24" s="13">
        <f t="shared" si="2"/>
        <v>46019</v>
      </c>
      <c r="F24" s="14" t="s">
        <v>25</v>
      </c>
    </row>
    <row r="25" spans="2:6" x14ac:dyDescent="0.2">
      <c r="B25" s="12"/>
      <c r="C25" s="12" t="str">
        <f t="shared" si="0"/>
        <v>2025-W01</v>
      </c>
      <c r="D25" s="13">
        <f t="shared" si="1"/>
        <v>46020</v>
      </c>
      <c r="E25" s="13">
        <f t="shared" si="2"/>
        <v>46026</v>
      </c>
      <c r="F25" s="14" t="s">
        <v>25</v>
      </c>
    </row>
    <row r="26" spans="2:6" x14ac:dyDescent="0.2">
      <c r="B26" s="12"/>
      <c r="C26" s="12" t="str">
        <f t="shared" si="0"/>
        <v>2026-W02</v>
      </c>
      <c r="D26" s="13">
        <f t="shared" si="1"/>
        <v>46027</v>
      </c>
      <c r="E26" s="13">
        <f t="shared" si="2"/>
        <v>46033</v>
      </c>
      <c r="F26" s="14" t="s">
        <v>25</v>
      </c>
    </row>
    <row r="27" spans="2:6" x14ac:dyDescent="0.2">
      <c r="B27" s="12"/>
      <c r="C27" s="12" t="str">
        <f t="shared" si="0"/>
        <v>2026-W03</v>
      </c>
      <c r="D27" s="13">
        <f t="shared" si="1"/>
        <v>46034</v>
      </c>
      <c r="E27" s="13">
        <f t="shared" si="2"/>
        <v>46040</v>
      </c>
      <c r="F27" s="14" t="s">
        <v>25</v>
      </c>
    </row>
    <row r="28" spans="2:6" x14ac:dyDescent="0.2">
      <c r="B28" s="12"/>
      <c r="C28" s="12" t="str">
        <f t="shared" si="0"/>
        <v>2026-W04</v>
      </c>
      <c r="D28" s="13">
        <f t="shared" si="1"/>
        <v>46041</v>
      </c>
      <c r="E28" s="13">
        <f t="shared" si="2"/>
        <v>46047</v>
      </c>
      <c r="F28" s="14" t="s">
        <v>25</v>
      </c>
    </row>
    <row r="29" spans="2:6" x14ac:dyDescent="0.2">
      <c r="B29" s="12" t="s">
        <v>41</v>
      </c>
      <c r="C29" s="12" t="str">
        <f t="shared" si="0"/>
        <v>2026-W05</v>
      </c>
      <c r="D29" s="13">
        <f t="shared" si="1"/>
        <v>46048</v>
      </c>
      <c r="E29" s="13">
        <f t="shared" si="2"/>
        <v>46054</v>
      </c>
      <c r="F29" s="14" t="s">
        <v>25</v>
      </c>
    </row>
    <row r="30" spans="2:6" x14ac:dyDescent="0.2">
      <c r="B30" s="12" t="s">
        <v>42</v>
      </c>
      <c r="C30" s="12" t="str">
        <f t="shared" si="0"/>
        <v>2026-W06</v>
      </c>
      <c r="D30" s="13">
        <f t="shared" si="1"/>
        <v>46055</v>
      </c>
      <c r="E30" s="13">
        <f t="shared" si="2"/>
        <v>46061</v>
      </c>
      <c r="F30" s="14" t="s">
        <v>25</v>
      </c>
    </row>
    <row r="32" spans="2:6" ht="10.5" x14ac:dyDescent="0.2">
      <c r="B32" s="8" t="s">
        <v>26</v>
      </c>
      <c r="C32" s="8"/>
      <c r="D32" s="8"/>
      <c r="E32" s="8"/>
      <c r="F32" s="8"/>
    </row>
    <row r="33" spans="2:6" ht="55" customHeight="1" x14ac:dyDescent="0.2">
      <c r="B33" s="3" t="s">
        <v>27</v>
      </c>
      <c r="C33" s="22" t="s">
        <v>28</v>
      </c>
      <c r="D33" s="22"/>
      <c r="E33" s="22"/>
      <c r="F33" s="22"/>
    </row>
    <row r="35" spans="2:6" ht="10.5" x14ac:dyDescent="0.2">
      <c r="B35" s="8" t="s">
        <v>29</v>
      </c>
      <c r="C35" s="8"/>
      <c r="D35" s="8"/>
      <c r="E35" s="8"/>
      <c r="F35" s="8"/>
    </row>
    <row r="36" spans="2:6" ht="243" customHeight="1" x14ac:dyDescent="0.2">
      <c r="B36" s="3" t="s">
        <v>30</v>
      </c>
      <c r="C36" s="22" t="s">
        <v>39</v>
      </c>
      <c r="D36" s="22"/>
      <c r="E36" s="22"/>
      <c r="F36" s="22"/>
    </row>
  </sheetData>
  <mergeCells count="7">
    <mergeCell ref="C36:F36"/>
    <mergeCell ref="D9:F9"/>
    <mergeCell ref="C12:F12"/>
    <mergeCell ref="C13:F13"/>
    <mergeCell ref="C14:F14"/>
    <mergeCell ref="C15:F15"/>
    <mergeCell ref="C33:F33"/>
  </mergeCells>
  <conditionalFormatting sqref="C23:D29">
    <cfRule type="containsText" dxfId="2" priority="1" operator="containsText" text="CRITICAL">
      <formula>NOT(ISERROR(SEARCH("CRITICAL",C23)))</formula>
    </cfRule>
    <cfRule type="containsText" dxfId="1" priority="2" operator="containsText" text="WARNING">
      <formula>NOT(ISERROR(SEARCH("WARNING",C23)))</formula>
    </cfRule>
    <cfRule type="containsText" dxfId="0" priority="3" operator="containsText" text="OK">
      <formula>NOT(ISERROR(SEARCH("OK",C23)))</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W5-12.Dec</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Tony Nguyen</cp:lastModifiedBy>
  <cp:revision/>
  <dcterms:created xsi:type="dcterms:W3CDTF">2023-06-12T15:04:10Z</dcterms:created>
  <dcterms:modified xsi:type="dcterms:W3CDTF">2025-12-12T09:43:27Z</dcterms:modified>
  <cp:category/>
  <cp:contentStatus/>
</cp:coreProperties>
</file>