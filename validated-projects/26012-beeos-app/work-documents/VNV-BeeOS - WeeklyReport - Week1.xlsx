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5591" documentId="11_E3635A91D89360E2088FC70966A6DD3BA462BE81" xr6:coauthVersionLast="47" xr6:coauthVersionMax="47" xr10:uidLastSave="{F20D435B-C03C-446E-8AAC-75E4B09CD919}"/>
  <bookViews>
    <workbookView xWindow="28680" yWindow="-120" windowWidth="29040" windowHeight="16440" xr2:uid="{00000000-000D-0000-FFFF-FFFF00000000}"/>
  </bookViews>
  <sheets>
    <sheet name="W1-14.Nov" sheetId="1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8" l="1"/>
  <c r="E19" i="18" s="1"/>
  <c r="E18" i="18"/>
  <c r="C18" i="18"/>
  <c r="C19" i="18" l="1"/>
  <c r="D20" i="18"/>
  <c r="D21" i="18" s="1"/>
  <c r="D22" i="18" s="1"/>
  <c r="E20" i="18" l="1"/>
  <c r="C20" i="18"/>
  <c r="C21" i="18"/>
  <c r="E21" i="18"/>
  <c r="E22" i="18"/>
  <c r="C22" i="18"/>
  <c r="D23" i="18"/>
  <c r="D24" i="18" l="1"/>
  <c r="E23" i="18"/>
  <c r="C23" i="18"/>
  <c r="D25" i="18" l="1"/>
  <c r="E24" i="18"/>
  <c r="C24" i="18"/>
  <c r="D26" i="18" l="1"/>
  <c r="E25" i="18"/>
  <c r="C25" i="18"/>
  <c r="E26" i="18" l="1"/>
  <c r="C26" i="18"/>
  <c r="D27" i="18"/>
  <c r="D28" i="18" l="1"/>
  <c r="E27" i="18"/>
  <c r="C27" i="18"/>
  <c r="D29" i="18" l="1"/>
  <c r="E28" i="18"/>
  <c r="C28" i="18"/>
  <c r="D30" i="18" l="1"/>
  <c r="E29" i="18"/>
  <c r="C29" i="18"/>
  <c r="C30" i="18" l="1"/>
  <c r="E30" i="18"/>
</calcChain>
</file>

<file path=xl/sharedStrings.xml><?xml version="1.0" encoding="utf-8"?>
<sst xmlns="http://schemas.openxmlformats.org/spreadsheetml/2006/main" count="52" uniqueCount="39">
  <si>
    <t>Development</t>
  </si>
  <si>
    <t>BeeOS</t>
  </si>
  <si>
    <t>% hoàn thành</t>
  </si>
  <si>
    <t>Requirement + Design</t>
  </si>
  <si>
    <t>Design layout</t>
  </si>
  <si>
    <t>Refer: https://www.figma.com/design/q5q3eZrNDFgw4MWAJ0yp09/BeeOS-Design?node-id=0-1&amp;p=f&amp;t=3zPoIzkoVm9bFTH2-0</t>
  </si>
  <si>
    <t>Wireframe</t>
  </si>
  <si>
    <t>Refer: https://www.figma.com/board/8aKSgukN6bHBD0Wyax6Gyt/BeeOS-Workflow?node-id=80-1058&amp;t=ZLVyLF8FRrThIYOZ-0</t>
  </si>
  <si>
    <t>BeeOS - Báo cáo - Tuần 1</t>
  </si>
  <si>
    <t>Tuần</t>
  </si>
  <si>
    <t>14.11.2025</t>
  </si>
  <si>
    <t>Tên dự án</t>
  </si>
  <si>
    <t>Thời gian thực hiện</t>
  </si>
  <si>
    <t>10.11.2025</t>
  </si>
  <si>
    <t>12.02.2026</t>
  </si>
  <si>
    <t>Trưởng dự án</t>
  </si>
  <si>
    <t>Quản lý khách hàng</t>
  </si>
  <si>
    <t>Tony (Vinova)</t>
  </si>
  <si>
    <t>Audrey (Vinova)</t>
  </si>
  <si>
    <t>Tóm lược</t>
  </si>
  <si>
    <t>Thông tin chung</t>
  </si>
  <si>
    <t>Công việc trong tuần</t>
  </si>
  <si>
    <t>Dự tính tuần tiếp theo</t>
  </si>
  <si>
    <t>Những trở ngại cần hỗ trợ</t>
  </si>
  <si>
    <t>Các mốc quan trọng</t>
  </si>
  <si>
    <t>Ghi chú: Tuần thứ 1 trong 2 tuần phân tích yêu cầu và thiết kế giao diện</t>
  </si>
  <si>
    <t>1. Cần thảo luận và thống nhất thiết kế giao diện (design) của luồng cấp đơn, bồi thường, bảng điều khiển càng nhanh càng tốt.
2. Team tiếp tục nghiên cứu hồ sơ dữ liệu những năm cũ chuẩn bị cho việc di dời dữ liệu cũ qua hệ thống mới (dữ liệu lưu trong database, dữ liệu file/folder)</t>
  </si>
  <si>
    <t>Quản lý Rủi ro</t>
  </si>
  <si>
    <t>Từ ngày</t>
  </si>
  <si>
    <t>Đến ngày</t>
  </si>
  <si>
    <t>Trạng thái</t>
  </si>
  <si>
    <t>Thử nghiệp</t>
  </si>
  <si>
    <t>Sử dụng thức tế</t>
  </si>
  <si>
    <t>Links tham khảo thêm</t>
  </si>
  <si>
    <t>Rủi ro #1: Di dời dữ liệu cũ (data migration): Có thể sẽ mất nhiều thời gian nghiên cứu và không đáp ứng di dời được hết toàn bộ dữ liệu cũ.
  + (Xong) BeeVN đã cung cấp file excels (tổng hợp theo dõi cấp đơn (mock), theo dõi trạng thái bồi thường (mock)) và files/folders để team tham khảo.
&gt;&gt;&gt; Team cần nghiên cứu đưa giải pháp và cho biết % có thể di dời qua hệ thống mới.(bao gồm di dời files/folders.
Rủi ro #2: 1 số yêu cầu mới vẫn có thể phát sinh trong quá trình làm rõ yêu cầu và giai đoạn lập trình dấn đến ảnh hưởng đến tiến độ dự án.
&gt;&gt;&gt; Team và BeeVN cần thống nhất danh sách công việc trước. Nếu có yêu cầu phát sinh sẽ cùng thảo luận từng trường hợp củ thể.
Rủi ro #3: Hiện tại team đang chỉ làm việc và trao đổi với 1 người duy nhất bên BeeVN (Vỹ), sau khi bàn giao từng tính năng liên tục, nếu có những người khác vào sử dụng có thể phát sinh yêu cầu thay đổi nếu phải đáp ứng sẽ ảnh hưởng đến tiến độ dự án.
&gt;&gt;&gt; Team và BeeVN cần thống nhất Vỹ (BeeVN) sẽ là người đại diện nghiệm thu duy nhất.</t>
  </si>
  <si>
    <t>Chờ đến lượt</t>
  </si>
  <si>
    <t>Đang tiến hành</t>
  </si>
  <si>
    <t>Phần 1: Phân tích yêu cầu (Requirement):
- Đã làm rõ yêu cầu luồng cấp đơn.
- Đã làm rõ 80% yêu cầu luồng bồi thường với thiết kế wireframe.
- Viết tài liệu BRD (Business requirement document)
Phần 2: Thiết kế giao diện (Design)
- Hoàn thành 50% luồng cấp đơn.
Phần 3: Lập trình
- Team luôn được cập nhật thông tin dự án mới nhất thông qua meeting hằng ngày.
- Team đã thảo luận và thống nhất cách làm việc, trao đổi giữa các team: Frontend, backend, tester.
- Team đã thiết lập bộ codebase với cấu trúc chuẩn, cài đặt các bộ thư viện tương ứng.
- Team đã design database 1 phần cho tính năng quản lý tài khoản, quản lý công ty bảo hiểm.
- Team đã setup môi trường Dev để chuẩn bị cho việc triển khai mã nguồn và kiểm chứng tính năng tích hợp.
- Team đã tiến hành nghiên cứu giải pháp tích hợp với Gmail, send tin nhắn qua Zalo.</t>
  </si>
  <si>
    <t xml:space="preserve">Phần 1: Phân tích yêu cầu (Requirement):
- Hoàn thiện tài liệu BRD (Business requirement document) cho 3 luồng chính (cấp đơn, bồi thường, bảng điểu khiển) và sẽ tiếp tục những phần tính năng bổ trợ khác sau.
- Làm rõ yêu cầu nghiệp vụ và tạo JIRA ticket liên quan cho team thực hiện lập trình.
- Lên danh sách các toàn bộ các công việc cần làm trong giai đoạn MVP này. (baseline scope)
Phần 2: Thiết kế giao diện (Design)
- Hoàn thành 100% luồng cấp đơn &amp; phê duyệt.
- Hoàn thành 100% luồng bồi thường.
- Tiếp tục thiết kế cho bảng điều khiển cấp đơn, bồi thường và những tính năng bổ trợ khác (như nhắc nhở, đăng nhập, quản lý tài khoản, quàn lý công ty bảo hiểm, ... 
Phần 3: Lập trình
- Lập trình ở mức giao diện luồng cấp đon.(chưa tích hợp với API backend)
- Lập trình các tính năng quản lý bổ trợ cho luồng cấp đơn (Quản lý P&amp;L, Quản lý điều khoản)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</si>
</sst>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9"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5">
    <xf numFmtId="0" fontId="0" fillId="0" borderId="0" xfId="0"/>
    <xf numFmtId="0" fontId="1" fillId="0" borderId="0" xfId="0" applyFont="1"/>
    <xf numFmtId="0" fontId="6" fillId="0" borderId="0" xfId="0" applyFont="1"/>
    <xf numFmtId="0" fontId="1" fillId="0" borderId="1" xfId="0" applyFont="1" applyBorder="1" applyAlignment="1">
      <alignment horizontal="left" vertical="top"/>
    </xf>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0" fontId="1" fillId="0" borderId="1" xfId="0" quotePrefix="1"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39A77-D25E-4727-9A03-65CFF4F24258}">
  <dimension ref="B1:F34"/>
  <sheetViews>
    <sheetView tabSelected="1" zoomScale="160" zoomScaleNormal="160" workbookViewId="0">
      <selection activeCell="C14" sqref="C14:F14"/>
    </sheetView>
  </sheetViews>
  <sheetFormatPr defaultRowHeight="10" x14ac:dyDescent="0.2"/>
  <cols>
    <col min="1" max="1" width="1.6328125" style="1" customWidth="1"/>
    <col min="2" max="2" width="15.6328125" style="1" customWidth="1"/>
    <col min="3" max="3" width="10.6328125" style="1" customWidth="1"/>
    <col min="4" max="4" width="18.54296875" style="1" customWidth="1"/>
    <col min="5" max="6" width="15.6328125" style="1" customWidth="1"/>
    <col min="7" max="7" width="14.1796875" style="1" customWidth="1"/>
    <col min="8" max="16384" width="8.7265625" style="1"/>
  </cols>
  <sheetData>
    <row r="1" spans="2:6" ht="18" x14ac:dyDescent="0.4">
      <c r="B1" s="2" t="s">
        <v>8</v>
      </c>
      <c r="C1" s="5"/>
      <c r="D1" s="6"/>
    </row>
    <row r="2" spans="2:6" x14ac:dyDescent="0.2">
      <c r="B2" s="7"/>
      <c r="C2" s="8"/>
      <c r="D2" s="8"/>
    </row>
    <row r="3" spans="2:6" ht="10.5" x14ac:dyDescent="0.2">
      <c r="B3" s="9" t="s">
        <v>9</v>
      </c>
      <c r="C3" s="3" t="s">
        <v>13</v>
      </c>
      <c r="D3" s="10" t="s">
        <v>10</v>
      </c>
      <c r="E3" s="11"/>
    </row>
    <row r="4" spans="2:6" ht="10.5" x14ac:dyDescent="0.2">
      <c r="B4" s="9" t="s">
        <v>11</v>
      </c>
      <c r="C4" s="12" t="s">
        <v>1</v>
      </c>
      <c r="D4" s="11"/>
      <c r="E4" s="11"/>
    </row>
    <row r="5" spans="2:6" ht="10.5" x14ac:dyDescent="0.2">
      <c r="B5" s="9" t="s">
        <v>12</v>
      </c>
      <c r="C5" s="10" t="s">
        <v>13</v>
      </c>
      <c r="D5" s="16" t="s">
        <v>14</v>
      </c>
      <c r="E5" s="11"/>
    </row>
    <row r="6" spans="2:6" ht="10.5" x14ac:dyDescent="0.2">
      <c r="B6" s="9" t="s">
        <v>15</v>
      </c>
      <c r="C6" s="12" t="s">
        <v>17</v>
      </c>
      <c r="D6" s="9" t="s">
        <v>16</v>
      </c>
      <c r="E6" s="12" t="s">
        <v>18</v>
      </c>
    </row>
    <row r="7" spans="2:6" x14ac:dyDescent="0.2">
      <c r="B7" s="11"/>
      <c r="C7" s="11"/>
      <c r="D7" s="11"/>
      <c r="E7" s="11"/>
    </row>
    <row r="8" spans="2:6" ht="10.5" x14ac:dyDescent="0.2">
      <c r="B8" s="9" t="s">
        <v>20</v>
      </c>
      <c r="C8" s="9"/>
      <c r="D8" s="9"/>
      <c r="E8" s="9"/>
      <c r="F8" s="9"/>
    </row>
    <row r="9" spans="2:6" x14ac:dyDescent="0.2">
      <c r="B9" s="17" t="s">
        <v>2</v>
      </c>
      <c r="C9" s="18">
        <v>0</v>
      </c>
      <c r="D9" s="21" t="s">
        <v>25</v>
      </c>
      <c r="E9" s="21"/>
      <c r="F9" s="21"/>
    </row>
    <row r="10" spans="2:6" x14ac:dyDescent="0.2">
      <c r="B10" s="12"/>
      <c r="C10" s="12"/>
      <c r="D10" s="11"/>
      <c r="E10" s="11"/>
      <c r="F10" s="11"/>
    </row>
    <row r="11" spans="2:6" ht="10.5" x14ac:dyDescent="0.2">
      <c r="B11" s="9" t="s">
        <v>19</v>
      </c>
      <c r="C11" s="9"/>
      <c r="D11" s="9"/>
      <c r="E11" s="9"/>
      <c r="F11" s="9"/>
    </row>
    <row r="12" spans="2:6" ht="173.5" customHeight="1" x14ac:dyDescent="0.2">
      <c r="B12" s="12" t="s">
        <v>21</v>
      </c>
      <c r="C12" s="22" t="s">
        <v>37</v>
      </c>
      <c r="D12" s="23"/>
      <c r="E12" s="23"/>
      <c r="F12" s="24"/>
    </row>
    <row r="13" spans="2:6" ht="146.5" customHeight="1" x14ac:dyDescent="0.2">
      <c r="B13" s="12" t="s">
        <v>22</v>
      </c>
      <c r="C13" s="22" t="s">
        <v>38</v>
      </c>
      <c r="D13" s="23"/>
      <c r="E13" s="23"/>
      <c r="F13" s="24"/>
    </row>
    <row r="14" spans="2:6" ht="51" customHeight="1" x14ac:dyDescent="0.2">
      <c r="B14" s="4" t="s">
        <v>23</v>
      </c>
      <c r="C14" s="22" t="s">
        <v>26</v>
      </c>
      <c r="D14" s="23"/>
      <c r="E14" s="23"/>
      <c r="F14" s="24"/>
    </row>
    <row r="15" spans="2:6" ht="147.5" customHeight="1" x14ac:dyDescent="0.2">
      <c r="B15" s="4" t="s">
        <v>27</v>
      </c>
      <c r="C15" s="22" t="s">
        <v>34</v>
      </c>
      <c r="D15" s="23"/>
      <c r="E15" s="23"/>
      <c r="F15" s="24"/>
    </row>
    <row r="16" spans="2:6" x14ac:dyDescent="0.2">
      <c r="B16" s="11"/>
      <c r="C16" s="11"/>
      <c r="D16" s="11"/>
      <c r="E16" s="11"/>
    </row>
    <row r="17" spans="2:6" ht="10.5" x14ac:dyDescent="0.2">
      <c r="B17" s="9" t="s">
        <v>24</v>
      </c>
      <c r="C17" s="9" t="s">
        <v>9</v>
      </c>
      <c r="D17" s="9" t="s">
        <v>28</v>
      </c>
      <c r="E17" s="9" t="s">
        <v>29</v>
      </c>
      <c r="F17" s="9" t="s">
        <v>30</v>
      </c>
    </row>
    <row r="18" spans="2:6" x14ac:dyDescent="0.2">
      <c r="B18" s="13" t="s">
        <v>3</v>
      </c>
      <c r="C18" s="13" t="str">
        <f>YEAR(D18)&amp;"-"&amp;"W"&amp;TEXT(WEEKNUM(D18,21),"0#")</f>
        <v>2025-W46</v>
      </c>
      <c r="D18" s="14">
        <v>45971</v>
      </c>
      <c r="E18" s="14">
        <f xml:space="preserve"> D18+(6-WEEKDAY(D18,3))</f>
        <v>45977</v>
      </c>
      <c r="F18" s="19" t="s">
        <v>36</v>
      </c>
    </row>
    <row r="19" spans="2:6" x14ac:dyDescent="0.2">
      <c r="B19" s="13"/>
      <c r="C19" s="13" t="str">
        <f>YEAR(D19)&amp;"-"&amp;"W"&amp;TEXT(WEEKNUM(D19,21),"0#")</f>
        <v>2025-W47</v>
      </c>
      <c r="D19" s="14">
        <f>D18+( 7-WEEKDAY(D18,3))</f>
        <v>45978</v>
      </c>
      <c r="E19" s="14">
        <f xml:space="preserve"> D19+(6-WEEKDAY(D19,3))</f>
        <v>45984</v>
      </c>
      <c r="F19" s="15" t="s">
        <v>35</v>
      </c>
    </row>
    <row r="20" spans="2:6" x14ac:dyDescent="0.2">
      <c r="B20" s="13" t="s">
        <v>0</v>
      </c>
      <c r="C20" s="13" t="str">
        <f t="shared" ref="C20:C30" si="0">YEAR(D20)&amp;"-"&amp;"W"&amp;TEXT(WEEKNUM(D20,21),"0#")</f>
        <v>2025-W48</v>
      </c>
      <c r="D20" s="14">
        <f t="shared" ref="D20:D30" si="1">D19+( 7-WEEKDAY(D19,3))</f>
        <v>45985</v>
      </c>
      <c r="E20" s="14">
        <f t="shared" ref="E20:E30" si="2" xml:space="preserve"> D20+(6-WEEKDAY(D20,3))</f>
        <v>45991</v>
      </c>
      <c r="F20" s="15" t="s">
        <v>35</v>
      </c>
    </row>
    <row r="21" spans="2:6" x14ac:dyDescent="0.2">
      <c r="B21" s="13"/>
      <c r="C21" s="13" t="str">
        <f t="shared" si="0"/>
        <v>2025-W49</v>
      </c>
      <c r="D21" s="14">
        <f t="shared" si="1"/>
        <v>45992</v>
      </c>
      <c r="E21" s="14">
        <f t="shared" si="2"/>
        <v>45998</v>
      </c>
      <c r="F21" s="15" t="s">
        <v>35</v>
      </c>
    </row>
    <row r="22" spans="2:6" x14ac:dyDescent="0.2">
      <c r="B22" s="13"/>
      <c r="C22" s="13" t="str">
        <f t="shared" si="0"/>
        <v>2025-W50</v>
      </c>
      <c r="D22" s="14">
        <f t="shared" si="1"/>
        <v>45999</v>
      </c>
      <c r="E22" s="14">
        <f t="shared" si="2"/>
        <v>46005</v>
      </c>
      <c r="F22" s="15" t="s">
        <v>35</v>
      </c>
    </row>
    <row r="23" spans="2:6" x14ac:dyDescent="0.2">
      <c r="B23" s="13"/>
      <c r="C23" s="13" t="str">
        <f t="shared" si="0"/>
        <v>2025-W51</v>
      </c>
      <c r="D23" s="14">
        <f t="shared" si="1"/>
        <v>46006</v>
      </c>
      <c r="E23" s="14">
        <f t="shared" si="2"/>
        <v>46012</v>
      </c>
      <c r="F23" s="15" t="s">
        <v>35</v>
      </c>
    </row>
    <row r="24" spans="2:6" x14ac:dyDescent="0.2">
      <c r="B24" s="13"/>
      <c r="C24" s="13" t="str">
        <f t="shared" si="0"/>
        <v>2025-W52</v>
      </c>
      <c r="D24" s="14">
        <f t="shared" si="1"/>
        <v>46013</v>
      </c>
      <c r="E24" s="14">
        <f t="shared" si="2"/>
        <v>46019</v>
      </c>
      <c r="F24" s="15" t="s">
        <v>35</v>
      </c>
    </row>
    <row r="25" spans="2:6" x14ac:dyDescent="0.2">
      <c r="B25" s="13"/>
      <c r="C25" s="13" t="str">
        <f t="shared" si="0"/>
        <v>2025-W01</v>
      </c>
      <c r="D25" s="14">
        <f t="shared" si="1"/>
        <v>46020</v>
      </c>
      <c r="E25" s="14">
        <f t="shared" si="2"/>
        <v>46026</v>
      </c>
      <c r="F25" s="15" t="s">
        <v>35</v>
      </c>
    </row>
    <row r="26" spans="2:6" x14ac:dyDescent="0.2">
      <c r="B26" s="13"/>
      <c r="C26" s="13" t="str">
        <f t="shared" si="0"/>
        <v>2026-W02</v>
      </c>
      <c r="D26" s="14">
        <f t="shared" si="1"/>
        <v>46027</v>
      </c>
      <c r="E26" s="14">
        <f t="shared" si="2"/>
        <v>46033</v>
      </c>
      <c r="F26" s="15" t="s">
        <v>35</v>
      </c>
    </row>
    <row r="27" spans="2:6" x14ac:dyDescent="0.2">
      <c r="B27" s="13"/>
      <c r="C27" s="13" t="str">
        <f t="shared" si="0"/>
        <v>2026-W03</v>
      </c>
      <c r="D27" s="14">
        <f t="shared" si="1"/>
        <v>46034</v>
      </c>
      <c r="E27" s="14">
        <f t="shared" si="2"/>
        <v>46040</v>
      </c>
      <c r="F27" s="15" t="s">
        <v>35</v>
      </c>
    </row>
    <row r="28" spans="2:6" x14ac:dyDescent="0.2">
      <c r="B28" s="13"/>
      <c r="C28" s="13" t="str">
        <f t="shared" si="0"/>
        <v>2026-W04</v>
      </c>
      <c r="D28" s="14">
        <f t="shared" si="1"/>
        <v>46041</v>
      </c>
      <c r="E28" s="14">
        <f t="shared" si="2"/>
        <v>46047</v>
      </c>
      <c r="F28" s="15" t="s">
        <v>35</v>
      </c>
    </row>
    <row r="29" spans="2:6" x14ac:dyDescent="0.2">
      <c r="B29" s="13" t="s">
        <v>31</v>
      </c>
      <c r="C29" s="13" t="str">
        <f t="shared" si="0"/>
        <v>2026-W05</v>
      </c>
      <c r="D29" s="14">
        <f t="shared" si="1"/>
        <v>46048</v>
      </c>
      <c r="E29" s="14">
        <f t="shared" si="2"/>
        <v>46054</v>
      </c>
      <c r="F29" s="15" t="s">
        <v>35</v>
      </c>
    </row>
    <row r="30" spans="2:6" x14ac:dyDescent="0.2">
      <c r="B30" s="13" t="s">
        <v>32</v>
      </c>
      <c r="C30" s="13" t="str">
        <f t="shared" si="0"/>
        <v>2026-W06</v>
      </c>
      <c r="D30" s="14">
        <f t="shared" si="1"/>
        <v>46055</v>
      </c>
      <c r="E30" s="14">
        <f t="shared" si="2"/>
        <v>46061</v>
      </c>
      <c r="F30" s="15" t="s">
        <v>35</v>
      </c>
    </row>
    <row r="32" spans="2:6" ht="10.5" x14ac:dyDescent="0.2">
      <c r="B32" s="9" t="s">
        <v>33</v>
      </c>
      <c r="C32" s="9"/>
      <c r="D32" s="9"/>
      <c r="E32" s="9"/>
      <c r="F32" s="9"/>
    </row>
    <row r="33" spans="2:6" x14ac:dyDescent="0.2">
      <c r="B33" s="12" t="s">
        <v>4</v>
      </c>
      <c r="C33" s="20" t="s">
        <v>5</v>
      </c>
      <c r="D33" s="20"/>
      <c r="E33" s="20"/>
      <c r="F33" s="20"/>
    </row>
    <row r="34" spans="2:6" x14ac:dyDescent="0.2">
      <c r="B34" s="12" t="s">
        <v>6</v>
      </c>
      <c r="C34" s="20" t="s">
        <v>7</v>
      </c>
      <c r="D34" s="20"/>
      <c r="E34" s="20"/>
      <c r="F34" s="20"/>
    </row>
  </sheetData>
  <mergeCells count="7">
    <mergeCell ref="D9:F9"/>
    <mergeCell ref="C15:F15"/>
    <mergeCell ref="C34:F34"/>
    <mergeCell ref="C12:F12"/>
    <mergeCell ref="C13:F13"/>
    <mergeCell ref="C14:F14"/>
    <mergeCell ref="C33:F33"/>
  </mergeCells>
  <conditionalFormatting sqref="C23:D29">
    <cfRule type="containsText" dxfId="2" priority="1" operator="containsText" text="CRITICAL">
      <formula>NOT(ISERROR(SEARCH("CRITICAL",C23)))</formula>
    </cfRule>
    <cfRule type="containsText" dxfId="1" priority="2" operator="containsText" text="WARNING">
      <formula>NOT(ISERROR(SEARCH("WARNING",C23)))</formula>
    </cfRule>
    <cfRule type="containsText" dxfId="0" priority="3" operator="containsText" text="OK">
      <formula>NOT(ISERROR(SEARCH("OK",C23)))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W1-14.Nov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Tony Nguyen</cp:lastModifiedBy>
  <dcterms:created xsi:type="dcterms:W3CDTF">2023-06-12T15:04:10Z</dcterms:created>
  <dcterms:modified xsi:type="dcterms:W3CDTF">2025-11-27T04:07:51Z</dcterms:modified>
</cp:coreProperties>
</file>