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5955" documentId="11_E3635A91D89360E2088FC70966A6DD3BA462BE81" xr6:coauthVersionLast="47" xr6:coauthVersionMax="47" xr10:uidLastSave="{BDF3C8A3-CE72-41BB-AE29-7588ED236207}"/>
  <bookViews>
    <workbookView xWindow="-110" yWindow="-110" windowWidth="19420" windowHeight="11500" xr2:uid="{00000000-000D-0000-FFFF-FFFF00000000}"/>
  </bookViews>
  <sheets>
    <sheet name="W8-2.Jan"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0" l="1"/>
  <c r="D22" i="20" s="1"/>
  <c r="E20" i="20"/>
  <c r="C20" i="20"/>
  <c r="D23" i="20" l="1"/>
  <c r="E22" i="20"/>
  <c r="C22" i="20"/>
  <c r="C21" i="20"/>
  <c r="E21" i="20"/>
  <c r="D24" i="20" l="1"/>
  <c r="E23" i="20"/>
  <c r="C23" i="20"/>
  <c r="E24" i="20" l="1"/>
  <c r="C24" i="20"/>
  <c r="D25" i="20"/>
  <c r="D26" i="20" l="1"/>
  <c r="E25" i="20"/>
  <c r="C25" i="20"/>
  <c r="D27" i="20" l="1"/>
  <c r="E26" i="20"/>
  <c r="C26" i="20"/>
  <c r="D28" i="20" l="1"/>
  <c r="E27" i="20"/>
  <c r="C27" i="20"/>
  <c r="E28" i="20" l="1"/>
  <c r="C28" i="20"/>
  <c r="D29" i="20"/>
  <c r="D30" i="20" l="1"/>
  <c r="C29" i="20"/>
  <c r="E29" i="20"/>
  <c r="D31" i="20" l="1"/>
  <c r="E30" i="20"/>
  <c r="C30" i="20"/>
  <c r="D32" i="20" l="1"/>
  <c r="C31" i="20"/>
  <c r="E31" i="20"/>
  <c r="E32" i="20" l="1"/>
  <c r="C32" i="20"/>
</calcChain>
</file>

<file path=xl/sharedStrings.xml><?xml version="1.0" encoding="utf-8"?>
<sst xmlns="http://schemas.openxmlformats.org/spreadsheetml/2006/main" count="55" uniqueCount="44">
  <si>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</si>
  <si>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</si>
  <si>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</si>
  <si>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</si>
  <si>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</si>
  <si>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</si>
  <si>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</si>
  <si>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</si>
  <si>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</si>
  <si>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</si>
  <si>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</si>
  <si>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</si>
  <si>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</si>
  <si>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</si>
  <si>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</si>
  <si>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</si>
  <si>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</si>
  <si>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</si>
  <si>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</si>
  <si>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</si>
  <si>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</si>
  <si>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</si>
  <si>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</si>
  <si>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</si>
  <si>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</si>
  <si>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</si>
  <si>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</si>
  <si>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Other Note</t>
  </si>
  <si>
    <t>Data Migration</t>
  </si>
  <si>
    <t>Thử nghiệm</t>
  </si>
  <si>
    <t>Sử dụng thực tế</t>
  </si>
  <si>
    <r>
      <t xml:space="preserve">Cần chuẩn hóa dữ liệu để hệ thống ghi nhận dữ liệu đúng. 
</t>
    </r>
    <r>
      <rPr>
        <i/>
        <u/>
        <sz val="8"/>
        <color theme="1"/>
        <rFont val="Arial"/>
        <family val="2"/>
      </rPr>
      <t>Chú ý:</t>
    </r>
    <r>
      <rPr>
        <sz val="8"/>
        <color theme="1"/>
        <rFont val="Arial"/>
        <family val="2"/>
      </rPr>
      <t xml:space="preserve"> Dữ liệu này cũng được xem như dữ liệu thật sẽ được dùng cho production sau này. </t>
    </r>
  </si>
  <si>
    <t>- Danh sách công việc và trạng thái
- Báo cáo tuần
- Tóm tắt tình hình import data vào hệ thống mới
&gt;&gt;&gt; Link tham khảo:  https://1drv.ms/f/c/e54d77a9688661eb/Eh-k0gWYkp9IoZHzEl4lt8gBjHtoEvToZOHHz7i9BkCHWQ?e=6ZjilW</t>
  </si>
  <si>
    <r>
      <t>(</t>
    </r>
    <r>
      <rPr>
        <b/>
        <i/>
        <sz val="8"/>
        <color theme="1"/>
        <rFont val="Arial"/>
        <family val="2"/>
      </rPr>
      <t>12.Jan -&gt; 18.Jan</t>
    </r>
    <r>
      <rPr>
        <sz val="8"/>
        <color theme="1"/>
        <rFont val="Arial"/>
        <family val="2"/>
      </rPr>
      <t>) Team dự án sẽ làm việc với Vỹ (và BeeVN) setup môi trường production, import data và những cấu hình hệ thống khác có liên quan.</t>
    </r>
  </si>
  <si>
    <r>
      <t>(</t>
    </r>
    <r>
      <rPr>
        <b/>
        <i/>
        <sz val="8"/>
        <color theme="1"/>
        <rFont val="Arial"/>
        <family val="2"/>
      </rPr>
      <t>19.Jan -&gt; 25.Jan</t>
    </r>
    <r>
      <rPr>
        <sz val="8"/>
        <color theme="1"/>
        <rFont val="Arial"/>
        <family val="2"/>
      </rPr>
      <t>) Chạy thử nghiệm lấy kết quả đã đủ điều kiện GOLIVE hay chưa.</t>
    </r>
  </si>
  <si>
    <t>68% (+18)</t>
  </si>
  <si>
    <t>BeeOS - Báo cáo - Tuần 8</t>
  </si>
  <si>
    <t>29.12.2025</t>
  </si>
  <si>
    <t>02.01.2026</t>
  </si>
  <si>
    <t xml:space="preserve">Những điểm nổi bật:
- 80% feedback (ngày 17.12) của BeeVN đã được hỗ trợ.
- Tiếp tục kiểm chứng và fix bug cho 2 luồng cấp đơn và bồi thường.
</t>
  </si>
  <si>
    <t>1. Team hiện vẫn đang tiếp tục kiểm chứng và fix bug cho 2 luồng cấp đơn và bồi thường, cố gắng tìm và fix càng nhiều tình huống càng tốt.
2. Tiếp tục hoàn thiện nốt các tính năng đang làm:
- (50%) Cấp đơn: Bảng điều khiển thay bằng bảng phân công công việc theo {month} 
- (50%) Cấp đơn / Quản lý HĐBH / Main screen:  Xử lý "Xuất dữ liệu": visualize với filter theo năm, loại hình, ...)
- (50%) Bồi thường - Báo cáo tổng hợp về sự cố bồi thường.
- (50%) Email &amp; xac nhận thanh toán - Hệ thống tự động gửi email thông báo thanh toán đến CTBH.
- (30%) Leader - Mobile Responsive
- (50%) Chế độ bảo trì
3. Data migration: 30% 
- Đã import 1 số dữ liệu chuẩn hóa cấp đơn của năm 2024, 2025, vẫn cần chuẩn hóa thêm dữ liệu chưa đúng định dạng của năm 2023.
- Team đang tiến hành import dữ liệu bồi thường</t>
  </si>
  <si>
    <r>
      <rPr>
        <b/>
        <sz val="8"/>
        <color theme="1"/>
        <rFont val="Arial"/>
        <family val="2"/>
      </rPr>
      <t>Team đặt mục tiêu:</t>
    </r>
    <r>
      <rPr>
        <sz val="8"/>
        <color theme="1"/>
        <rFont val="Arial"/>
        <family val="2"/>
      </rPr>
      <t xml:space="preserve"> 
1. Tiếp tục kiểm thử và fix bugs các tính năng liên quan đến 2 luồng cấp đơn và bồi thường (bao gồm toàn bộ feedback của BeeVN ngày 17.12)
2. Hỗ trợ những phản hồi từ BeeVN trong lúc trải nghiệm trên môi trường Vinova Staging.
3. Tiếp tục import dữ liệu cấp đơn và bồi thường (nếu dữ liệu đang chưa đúng đã được chuẩn hóa)
4. Chuẩn bị 1 môi trường production (hosting, domain, ...)
&gt;&gt;&gt; Mong muốn hoành thành: 11.Jan.2026</t>
    </r>
  </si>
  <si>
    <r>
      <t>(</t>
    </r>
    <r>
      <rPr>
        <b/>
        <i/>
        <sz val="8"/>
        <color theme="1"/>
        <rFont val="Arial"/>
        <family val="2"/>
      </rPr>
      <t>05.Jan -&gt; 9.Jan</t>
    </r>
    <r>
      <rPr>
        <sz val="8"/>
        <color theme="1"/>
        <rFont val="Arial"/>
        <family val="2"/>
      </rPr>
      <t>) 
- Hỗ trợ những phản hồi từ BeeVN trong lúc trải nghiệm trên môi trường Vinova Staging.
- Chuẩn bị 1 môi trường production (hosting, domain, ...)</t>
    </r>
  </si>
  <si>
    <t xml:space="preserve">Rủi ro #1: Di dời dữ liệu cũ (data migration): Có thể sẽ mất nhiều thời gian chuẩn hóa dữ liệu đáp ứng di dời được hết toàn bộ dữ liệu cũ.
Rủi ro #2: Phần tính toán, thống kê dữ liệu cũ sau khi data được migrate. Có thể sẽ mất nhiều thời gian để kiểm tra.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</si>
</sst>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2"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u/>
      <sz val="8"/>
      <color theme="1"/>
      <name val="Arial"/>
      <family val="2"/>
    </font>
    <font>
      <b/>
      <i/>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9">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0" xfId="0" quotePrefix="1" applyFont="1" applyAlignment="1">
      <alignment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G38"/>
  <sheetViews>
    <sheetView tabSelected="1" topLeftCell="A12" zoomScale="160" zoomScaleNormal="160" workbookViewId="0">
      <selection activeCell="C12" sqref="C12:F12"/>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7" ht="18" x14ac:dyDescent="0.4">
      <c r="B1" s="2" t="s">
        <v>36</v>
      </c>
      <c r="C1" s="4"/>
      <c r="D1" s="5"/>
    </row>
    <row r="2" spans="2:7" x14ac:dyDescent="0.2">
      <c r="B2" s="6"/>
      <c r="C2" s="7"/>
      <c r="D2" s="7"/>
    </row>
    <row r="3" spans="2:7" ht="10.5" x14ac:dyDescent="0.2">
      <c r="B3" s="8" t="s">
        <v>0</v>
      </c>
      <c r="C3" s="21" t="s">
        <v>37</v>
      </c>
      <c r="D3" s="9" t="s">
        <v>38</v>
      </c>
      <c r="E3" s="10"/>
    </row>
    <row r="4" spans="2:7" ht="10.5" x14ac:dyDescent="0.2">
      <c r="B4" s="8" t="s">
        <v>1</v>
      </c>
      <c r="C4" s="11" t="s">
        <v>2</v>
      </c>
      <c r="D4" s="10"/>
      <c r="E4" s="10"/>
    </row>
    <row r="5" spans="2:7" ht="10.5" x14ac:dyDescent="0.2">
      <c r="B5" s="8" t="s">
        <v>3</v>
      </c>
      <c r="C5" s="9" t="s">
        <v>4</v>
      </c>
      <c r="D5" s="15" t="s">
        <v>5</v>
      </c>
      <c r="E5" s="10"/>
    </row>
    <row r="6" spans="2:7" ht="10.5" x14ac:dyDescent="0.2">
      <c r="B6" s="8" t="s">
        <v>6</v>
      </c>
      <c r="C6" s="11" t="s">
        <v>7</v>
      </c>
      <c r="D6" s="8" t="s">
        <v>8</v>
      </c>
      <c r="E6" s="11" t="s">
        <v>9</v>
      </c>
    </row>
    <row r="7" spans="2:7" x14ac:dyDescent="0.2">
      <c r="B7" s="10"/>
      <c r="C7" s="10"/>
      <c r="D7" s="10"/>
      <c r="E7" s="10"/>
    </row>
    <row r="8" spans="2:7" ht="10.5" x14ac:dyDescent="0.2">
      <c r="B8" s="8" t="s">
        <v>10</v>
      </c>
      <c r="C8" s="8"/>
      <c r="D8" s="8"/>
      <c r="E8" s="8"/>
      <c r="F8" s="8"/>
    </row>
    <row r="9" spans="2:7" ht="49" customHeight="1" x14ac:dyDescent="0.2">
      <c r="B9" s="16" t="s">
        <v>11</v>
      </c>
      <c r="C9" s="17" t="s">
        <v>35</v>
      </c>
      <c r="D9" s="24" t="s">
        <v>39</v>
      </c>
      <c r="E9" s="25"/>
      <c r="F9" s="25"/>
      <c r="G9" s="22"/>
    </row>
    <row r="10" spans="2:7" x14ac:dyDescent="0.2">
      <c r="B10" s="11"/>
      <c r="C10" s="11"/>
      <c r="D10" s="10"/>
      <c r="E10" s="10"/>
      <c r="F10" s="10"/>
    </row>
    <row r="11" spans="2:7" ht="10.5" x14ac:dyDescent="0.2">
      <c r="B11" s="8" t="s">
        <v>12</v>
      </c>
      <c r="C11" s="8"/>
      <c r="D11" s="8"/>
      <c r="E11" s="8"/>
      <c r="F11" s="8"/>
    </row>
    <row r="12" spans="2:7" ht="176" customHeight="1" x14ac:dyDescent="0.2">
      <c r="B12" s="11" t="s">
        <v>13</v>
      </c>
      <c r="C12" s="26" t="s">
        <v>40</v>
      </c>
      <c r="D12" s="27"/>
      <c r="E12" s="27"/>
      <c r="F12" s="28"/>
    </row>
    <row r="13" spans="2:7" ht="117.5" customHeight="1" x14ac:dyDescent="0.2">
      <c r="B13" s="11" t="s">
        <v>14</v>
      </c>
      <c r="C13" s="26" t="s">
        <v>41</v>
      </c>
      <c r="D13" s="27"/>
      <c r="E13" s="27"/>
      <c r="F13" s="28"/>
    </row>
    <row r="14" spans="2:7" ht="37" customHeight="1" x14ac:dyDescent="0.2">
      <c r="B14" s="11"/>
      <c r="C14" s="26" t="s">
        <v>42</v>
      </c>
      <c r="D14" s="27"/>
      <c r="E14" s="27"/>
      <c r="F14" s="28"/>
    </row>
    <row r="15" spans="2:7" ht="31" customHeight="1" x14ac:dyDescent="0.2">
      <c r="B15" s="11"/>
      <c r="C15" s="26" t="s">
        <v>33</v>
      </c>
      <c r="D15" s="27"/>
      <c r="E15" s="27"/>
      <c r="F15" s="28"/>
    </row>
    <row r="16" spans="2:7" ht="17" customHeight="1" x14ac:dyDescent="0.2">
      <c r="B16" s="11"/>
      <c r="C16" s="26" t="s">
        <v>34</v>
      </c>
      <c r="D16" s="27"/>
      <c r="E16" s="27"/>
      <c r="F16" s="28"/>
    </row>
    <row r="17" spans="2:6" ht="55.5" customHeight="1" x14ac:dyDescent="0.2">
      <c r="B17" s="3" t="s">
        <v>15</v>
      </c>
      <c r="C17" s="26" t="s">
        <v>43</v>
      </c>
      <c r="D17" s="27"/>
      <c r="E17" s="27"/>
      <c r="F17" s="28"/>
    </row>
    <row r="18" spans="2:6" x14ac:dyDescent="0.2">
      <c r="B18" s="10"/>
      <c r="C18" s="10"/>
      <c r="D18" s="10"/>
      <c r="E18" s="10"/>
    </row>
    <row r="19" spans="2:6" ht="10.5" x14ac:dyDescent="0.2">
      <c r="B19" s="8" t="s">
        <v>16</v>
      </c>
      <c r="C19" s="8" t="s">
        <v>0</v>
      </c>
      <c r="D19" s="8" t="s">
        <v>17</v>
      </c>
      <c r="E19" s="8" t="s">
        <v>18</v>
      </c>
      <c r="F19" s="8" t="s">
        <v>19</v>
      </c>
    </row>
    <row r="20" spans="2:6" x14ac:dyDescent="0.2">
      <c r="B20" s="12" t="s">
        <v>20</v>
      </c>
      <c r="C20" s="12" t="str">
        <f>YEAR(D20)&amp;"-"&amp;"W"&amp;TEXT(WEEKNUM(D20,21),"0#")</f>
        <v>2025-W46</v>
      </c>
      <c r="D20" s="13">
        <v>45971</v>
      </c>
      <c r="E20" s="13">
        <f xml:space="preserve"> D20+(6-WEEKDAY(D20,3))</f>
        <v>45977</v>
      </c>
      <c r="F20" s="19" t="s">
        <v>21</v>
      </c>
    </row>
    <row r="21" spans="2:6" x14ac:dyDescent="0.2">
      <c r="B21" s="12"/>
      <c r="C21" s="12" t="str">
        <f>YEAR(D21)&amp;"-"&amp;"W"&amp;TEXT(WEEKNUM(D21,21),"0#")</f>
        <v>2025-W47</v>
      </c>
      <c r="D21" s="13">
        <f>D20+( 7-WEEKDAY(D20,3))</f>
        <v>45978</v>
      </c>
      <c r="E21" s="13">
        <f xml:space="preserve"> D21+(6-WEEKDAY(D21,3))</f>
        <v>45984</v>
      </c>
      <c r="F21" s="19" t="s">
        <v>21</v>
      </c>
    </row>
    <row r="22" spans="2:6" x14ac:dyDescent="0.2">
      <c r="B22" s="12" t="s">
        <v>22</v>
      </c>
      <c r="C22" s="12" t="str">
        <f t="shared" ref="C22:C32" si="0">YEAR(D22)&amp;"-"&amp;"W"&amp;TEXT(WEEKNUM(D22,21),"0#")</f>
        <v>2025-W48</v>
      </c>
      <c r="D22" s="13">
        <f t="shared" ref="D22:D32" si="1">D21+( 7-WEEKDAY(D21,3))</f>
        <v>45985</v>
      </c>
      <c r="E22" s="13">
        <f t="shared" ref="E22:E32" si="2" xml:space="preserve"> D22+(6-WEEKDAY(D22,3))</f>
        <v>45991</v>
      </c>
      <c r="F22" s="19" t="s">
        <v>21</v>
      </c>
    </row>
    <row r="23" spans="2:6" x14ac:dyDescent="0.2">
      <c r="B23" s="12"/>
      <c r="C23" s="12" t="str">
        <f t="shared" si="0"/>
        <v>2025-W49</v>
      </c>
      <c r="D23" s="13">
        <f t="shared" si="1"/>
        <v>45992</v>
      </c>
      <c r="E23" s="13">
        <f t="shared" si="2"/>
        <v>45998</v>
      </c>
      <c r="F23" s="19" t="s">
        <v>21</v>
      </c>
    </row>
    <row r="24" spans="2:6" x14ac:dyDescent="0.2">
      <c r="B24" s="12"/>
      <c r="C24" s="12" t="str">
        <f t="shared" si="0"/>
        <v>2025-W50</v>
      </c>
      <c r="D24" s="13">
        <f t="shared" si="1"/>
        <v>45999</v>
      </c>
      <c r="E24" s="13">
        <f t="shared" si="2"/>
        <v>46005</v>
      </c>
      <c r="F24" s="19" t="s">
        <v>21</v>
      </c>
    </row>
    <row r="25" spans="2:6" x14ac:dyDescent="0.2">
      <c r="B25" s="12"/>
      <c r="C25" s="12" t="str">
        <f t="shared" si="0"/>
        <v>2025-W51</v>
      </c>
      <c r="D25" s="13">
        <f t="shared" si="1"/>
        <v>46006</v>
      </c>
      <c r="E25" s="13">
        <f t="shared" si="2"/>
        <v>46012</v>
      </c>
      <c r="F25" s="19" t="s">
        <v>21</v>
      </c>
    </row>
    <row r="26" spans="2:6" x14ac:dyDescent="0.2">
      <c r="B26" s="12"/>
      <c r="C26" s="12" t="str">
        <f t="shared" si="0"/>
        <v>2025-W52</v>
      </c>
      <c r="D26" s="13">
        <f t="shared" si="1"/>
        <v>46013</v>
      </c>
      <c r="E26" s="13">
        <f t="shared" si="2"/>
        <v>46019</v>
      </c>
      <c r="F26" s="19" t="s">
        <v>21</v>
      </c>
    </row>
    <row r="27" spans="2:6" x14ac:dyDescent="0.2">
      <c r="B27" s="12"/>
      <c r="C27" s="12" t="str">
        <f t="shared" si="0"/>
        <v>2025-W01</v>
      </c>
      <c r="D27" s="13">
        <f t="shared" si="1"/>
        <v>46020</v>
      </c>
      <c r="E27" s="13">
        <f t="shared" si="2"/>
        <v>46026</v>
      </c>
      <c r="F27" s="18" t="s">
        <v>23</v>
      </c>
    </row>
    <row r="28" spans="2:6" x14ac:dyDescent="0.2">
      <c r="B28" s="12"/>
      <c r="C28" s="12" t="str">
        <f t="shared" si="0"/>
        <v>2026-W02</v>
      </c>
      <c r="D28" s="13">
        <f t="shared" si="1"/>
        <v>46027</v>
      </c>
      <c r="E28" s="13">
        <f t="shared" si="2"/>
        <v>46033</v>
      </c>
      <c r="F28" s="20" t="s">
        <v>24</v>
      </c>
    </row>
    <row r="29" spans="2:6" x14ac:dyDescent="0.2">
      <c r="B29" s="12"/>
      <c r="C29" s="12" t="str">
        <f t="shared" si="0"/>
        <v>2026-W03</v>
      </c>
      <c r="D29" s="13">
        <f t="shared" si="1"/>
        <v>46034</v>
      </c>
      <c r="E29" s="13">
        <f t="shared" si="2"/>
        <v>46040</v>
      </c>
      <c r="F29" s="14" t="s">
        <v>24</v>
      </c>
    </row>
    <row r="30" spans="2:6" x14ac:dyDescent="0.2">
      <c r="B30" s="12"/>
      <c r="C30" s="12" t="str">
        <f t="shared" si="0"/>
        <v>2026-W04</v>
      </c>
      <c r="D30" s="13">
        <f t="shared" si="1"/>
        <v>46041</v>
      </c>
      <c r="E30" s="13">
        <f t="shared" si="2"/>
        <v>46047</v>
      </c>
      <c r="F30" s="14" t="s">
        <v>24</v>
      </c>
    </row>
    <row r="31" spans="2:6" x14ac:dyDescent="0.2">
      <c r="B31" s="12" t="s">
        <v>29</v>
      </c>
      <c r="C31" s="12" t="str">
        <f t="shared" si="0"/>
        <v>2026-W05</v>
      </c>
      <c r="D31" s="13">
        <f t="shared" si="1"/>
        <v>46048</v>
      </c>
      <c r="E31" s="13">
        <f t="shared" si="2"/>
        <v>46054</v>
      </c>
      <c r="F31" s="14" t="s">
        <v>24</v>
      </c>
    </row>
    <row r="32" spans="2:6" x14ac:dyDescent="0.2">
      <c r="B32" s="12" t="s">
        <v>30</v>
      </c>
      <c r="C32" s="12" t="str">
        <f t="shared" si="0"/>
        <v>2026-W06</v>
      </c>
      <c r="D32" s="13">
        <f t="shared" si="1"/>
        <v>46055</v>
      </c>
      <c r="E32" s="13">
        <f t="shared" si="2"/>
        <v>46061</v>
      </c>
      <c r="F32" s="14" t="s">
        <v>24</v>
      </c>
    </row>
    <row r="34" spans="2:6" ht="10.5" x14ac:dyDescent="0.2">
      <c r="B34" s="8" t="s">
        <v>25</v>
      </c>
      <c r="C34" s="8"/>
      <c r="D34" s="8"/>
      <c r="E34" s="8"/>
      <c r="F34" s="8"/>
    </row>
    <row r="35" spans="2:6" ht="55" customHeight="1" x14ac:dyDescent="0.2">
      <c r="B35" s="3" t="s">
        <v>26</v>
      </c>
      <c r="C35" s="23" t="s">
        <v>32</v>
      </c>
      <c r="D35" s="23"/>
      <c r="E35" s="23"/>
      <c r="F35" s="23"/>
    </row>
    <row r="37" spans="2:6" ht="10.5" x14ac:dyDescent="0.2">
      <c r="B37" s="8" t="s">
        <v>27</v>
      </c>
      <c r="C37" s="8"/>
      <c r="D37" s="8"/>
      <c r="E37" s="8"/>
      <c r="F37" s="8"/>
    </row>
    <row r="38" spans="2:6" ht="38.5" customHeight="1" x14ac:dyDescent="0.2">
      <c r="B38" s="3" t="s">
        <v>28</v>
      </c>
      <c r="C38" s="23" t="s">
        <v>31</v>
      </c>
      <c r="D38" s="23"/>
      <c r="E38" s="23"/>
      <c r="F38" s="23"/>
    </row>
  </sheetData>
  <mergeCells count="9">
    <mergeCell ref="C38:F38"/>
    <mergeCell ref="D9:F9"/>
    <mergeCell ref="C12:F12"/>
    <mergeCell ref="C13:F13"/>
    <mergeCell ref="C17:F17"/>
    <mergeCell ref="C35:F35"/>
    <mergeCell ref="C14:F14"/>
    <mergeCell ref="C15:F15"/>
    <mergeCell ref="C16:F16"/>
  </mergeCells>
  <conditionalFormatting sqref="C25:D31">
    <cfRule type="containsText" dxfId="2" priority="1" operator="containsText" text="CRITICAL">
      <formula>NOT(ISERROR(SEARCH("CRITICAL",C25)))</formula>
    </cfRule>
    <cfRule type="containsText" dxfId="1" priority="2" operator="containsText" text="WARNING">
      <formula>NOT(ISERROR(SEARCH("WARNING",C25)))</formula>
    </cfRule>
    <cfRule type="containsText" dxfId="0" priority="3" operator="containsText" text="OK">
      <formula>NOT(ISERROR(SEARCH("OK",C25)))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W8-2.Jan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2026-01-05T09:03:12Z</dcterms:modified>
  <cp:category/>
  <cp:contentStatus/>
</cp:coreProperties>
</file>