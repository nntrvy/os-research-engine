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e54d77a9688661eb/VNV-Project/BEEOS/SharedDocument/Weekly-Report/"/>
    </mc:Choice>
  </mc:AlternateContent>
  <xr:revisionPtr revIDLastSave="16092" documentId="11_E3635A91D89360E2088FC70966A6DD3BA462BE81" xr6:coauthVersionLast="47" xr6:coauthVersionMax="47" xr10:uidLastSave="{5494CB77-42C2-4E83-933C-67D76BECA63C}"/>
  <bookViews>
    <workbookView xWindow="-110" yWindow="-110" windowWidth="19420" windowHeight="11500" xr2:uid="{00000000-000D-0000-FFFF-FFFF00000000}"/>
  </bookViews>
  <sheets>
    <sheet name="W11-23.Jan" sheetId="20"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20" l="1"/>
  <c r="D20" i="20" s="1"/>
  <c r="E18" i="20"/>
  <c r="C18" i="20"/>
  <c r="D21" i="20" l="1"/>
  <c r="E20" i="20"/>
  <c r="C20" i="20"/>
  <c r="C19" i="20"/>
  <c r="E19" i="20"/>
  <c r="D22" i="20" l="1"/>
  <c r="E21" i="20"/>
  <c r="C21" i="20"/>
  <c r="E22" i="20" l="1"/>
  <c r="C22" i="20"/>
  <c r="D23" i="20"/>
  <c r="D24" i="20" l="1"/>
  <c r="E23" i="20"/>
  <c r="C23" i="20"/>
  <c r="D25" i="20" l="1"/>
  <c r="E24" i="20"/>
  <c r="C24" i="20"/>
  <c r="D26" i="20" l="1"/>
  <c r="E25" i="20"/>
  <c r="C25" i="20"/>
  <c r="E26" i="20" l="1"/>
  <c r="C26" i="20"/>
  <c r="D27" i="20"/>
  <c r="D28" i="20" l="1"/>
  <c r="C27" i="20"/>
  <c r="E27" i="20"/>
  <c r="D29" i="20" l="1"/>
  <c r="E28" i="20"/>
  <c r="C28" i="20"/>
  <c r="D30" i="20" l="1"/>
  <c r="C29" i="20"/>
  <c r="E29" i="20"/>
  <c r="E30" i="20" l="1"/>
  <c r="C30" i="20"/>
</calcChain>
</file>

<file path=xl/sharedStrings.xml><?xml version="1.0" encoding="utf-8"?>
<sst xmlns="http://schemas.openxmlformats.org/spreadsheetml/2006/main" count="53" uniqueCount="42">
  <si>
    <t>Tuần</t>
  </si>
  <si>
    <t>Tên dự án</t>
  </si>
  <si>
    <t>BeeOS</t>
  </si>
  <si>
    <t>Thời gian thực hiện</t>
  </si>
  <si>
    <t>10.11.2025</t>
  </si>
  <si>
    <t>12.02.2026</t>
  </si>
  <si>
    <t>Trưởng dự án</t>
  </si>
  <si>
    <t>Tony (Vinova)</t>
  </si>
  <si>
    <t>Quản lý khách hàng</t>
  </si>
  <si>
    <t>Audrey (Vinova)</t>
  </si>
  <si>
    <t>Thông tin chung</t>
  </si>
  <si>
    <t>% hoàn thành</t>
  </si>
  <si>
    <t>Tóm lược</t>
  </si>
  <si>
    <t>Công việc trong tuần</t>
  </si>
  <si>
    <t>Dự tính tuần tiếp theo</t>
  </si>
  <si>
    <t>Quản lý Rủi ro</t>
  </si>
  <si>
    <t>Các mốc quan trọng</t>
  </si>
  <si>
    <t>Từ ngày</t>
  </si>
  <si>
    <t>Đến ngày</t>
  </si>
  <si>
    <t>Trạng thái</t>
  </si>
  <si>
    <t>Requirement + Design</t>
  </si>
  <si>
    <t>Đã qua</t>
  </si>
  <si>
    <t>Development</t>
  </si>
  <si>
    <t>Đang tiến hành</t>
  </si>
  <si>
    <t>Chờ đến lượt</t>
  </si>
  <si>
    <t>Links tham khảo thêm</t>
  </si>
  <si>
    <t>Tài liệu chia sẻ</t>
  </si>
  <si>
    <t>Other Note</t>
  </si>
  <si>
    <t>Thử nghiệm</t>
  </si>
  <si>
    <t>Sử dụng thực tế</t>
  </si>
  <si>
    <t>- Danh sách công việc và trạng thái
- Báo cáo tuần
- Tóm tắt tình hình import data vào hệ thống mới
&gt;&gt;&gt; Link tham khảo:  https://1drv.ms/f/c/e54d77a9688661eb/Eh-k0gWYkp9IoZHzEl4lt8gBjHtoEvToZOHHz7i9BkCHWQ?e=6ZjilW</t>
  </si>
  <si>
    <t>BeeOS - Báo cáo - Tuần 11</t>
  </si>
  <si>
    <t>19.01.2026</t>
  </si>
  <si>
    <t>23.01.2026</t>
  </si>
  <si>
    <t>90% (+5)</t>
  </si>
  <si>
    <t xml:space="preserve">Những điểm nổi bật:
- Đã hỗ trợ hầu hết những feedback (ngày 21.01) và những ngày trước đó của BeeVN.
- Tiếp tục kiểm chứng và fix bug cho 2 luồng cấp đơn và bồi thường.
</t>
  </si>
  <si>
    <t>Môi trường production</t>
  </si>
  <si>
    <t>Rủi ro #1: Chuẩn hóa dữ liệu migration (Cấp đơn, bồi thường) để có dữ liệu chính xác phục vụ cho việc kiểm chứng những dữ liệu tính toán khác có liên quan.
&gt;&gt;&gt; Mong muốn hoành tất vào T2 (26.Jan), chậm trễ có thể ảnh hưởng đến hạn định của dự án.</t>
  </si>
  <si>
    <r>
      <rPr>
        <b/>
        <sz val="8"/>
        <color theme="1"/>
        <rFont val="Arial"/>
        <family val="2"/>
      </rPr>
      <t>Team đặt mục tiêu:</t>
    </r>
    <r>
      <rPr>
        <sz val="8"/>
        <color theme="1"/>
        <rFont val="Arial"/>
        <family val="2"/>
      </rPr>
      <t xml:space="preserve"> 
1. Tiếp tục import dữ liệu cấp đơn và bồi thường (nếu có dữ liệu mới hay dữ liệu cập nhật)
2. Deploy production và tiếp tục hỗ trợ những phản hồi từ BeeVN trong lúc trải nghiệm trên môi trường production (vòng chạy thử nghiệm thực tế với data thật)
Mong muốn hoàn thành chạy thực nghiệm trên production và GOLIVE vào tuần tiếp theo (02.Feb -&gt; 08.Feb)</t>
    </r>
  </si>
  <si>
    <r>
      <t xml:space="preserve">1. Team hiện vẫn đang tiếp tục kiểm chứng và fix bug cho 2 luồng cấp đơn và bồi thường, cố gắng tìm và fix càng nhiều tình huống càng tốt.
2. Đã hỗ trợ 80% những điểm feedback cho cả 5 lần (ngày 17.12, 06.01, 09.01, 19.01, 21.01)
3. Data migration: 60%: Vẫn còn 1 số dữ liệu (Cấp đơn, bồi thường) cần chuẩn hóa. 
</t>
    </r>
    <r>
      <rPr>
        <u/>
        <sz val="8"/>
        <color theme="1"/>
        <rFont val="Arial"/>
        <family val="2"/>
      </rPr>
      <t>Cấp đơn:</t>
    </r>
    <r>
      <rPr>
        <sz val="8"/>
        <color theme="1"/>
        <rFont val="Arial"/>
        <family val="2"/>
      </rPr>
      <t xml:space="preserve">  Dữ liệu kì thanh toán bị sai format hay chưa có dữ liệu
- Dữ liệu năm 2025: dòng 188, 276, 348, 354, 355, 358, 359, 360, 361
- Dữ liệu năm 2024: dòng 166
- Dữ liệu năm 2023: toàn bộ data không có kỳ thanh toán
</t>
    </r>
    <r>
      <rPr>
        <u/>
        <sz val="8"/>
        <color theme="1"/>
        <rFont val="Arial"/>
        <family val="2"/>
      </rPr>
      <t>Bồi thường:</t>
    </r>
    <r>
      <rPr>
        <sz val="8"/>
        <color theme="1"/>
        <rFont val="Arial"/>
        <family val="2"/>
      </rPr>
      <t xml:space="preserve">
- Cần chỉnh lại liên kết loại hình BH cho nhóm tổn thất.
- Cần đảm bảo dữ liệu đúng tên địa điểm đang quản lý trong hệ thống và thống nhất 1 cách ghi cho toàn bộ dữ liệu (ví dụ: dùng toàn bộ tên viết tắt)</t>
    </r>
  </si>
  <si>
    <r>
      <rPr>
        <b/>
        <sz val="8"/>
        <color theme="1"/>
        <rFont val="Arial"/>
        <family val="2"/>
      </rPr>
      <t>T2 (26.Jan)</t>
    </r>
    <r>
      <rPr>
        <sz val="8"/>
        <color theme="1"/>
        <rFont val="Arial"/>
        <family val="2"/>
      </rPr>
      <t xml:space="preserve"> Mong muốn hoàn tất việc migrate data (Cấp đơn, bồi thường) trên môi trường Vinova Staging.(và trên production)
</t>
    </r>
    <r>
      <rPr>
        <b/>
        <sz val="8"/>
        <color theme="1"/>
        <rFont val="Arial"/>
        <family val="2"/>
      </rPr>
      <t>T3,T4,T5,T6 (27,28,29,30.Jan)</t>
    </r>
    <r>
      <rPr>
        <sz val="8"/>
        <color theme="1"/>
        <rFont val="Arial"/>
        <family val="2"/>
      </rPr>
      <t xml:space="preserve">  BeeVN chạy thử nghiệm thực tế với data thật và hoàn tất (môi trường production)</t>
    </r>
  </si>
  <si>
    <r>
      <rPr>
        <i/>
        <u/>
        <sz val="8"/>
        <color theme="1"/>
        <rFont val="Arial"/>
        <family val="2"/>
      </rPr>
      <t>Lưu ý:</t>
    </r>
    <r>
      <rPr>
        <sz val="8"/>
        <color theme="1"/>
        <rFont val="Arial"/>
        <family val="2"/>
      </rPr>
      <t xml:space="preserve"> sử dụng chạy thực nghiệm và GOLIVE sau này.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</si>
</sst>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14809]d\ mmm\ yyyy;@"/>
  </numFmts>
  <fonts count="12" x14ac:knownFonts="1">
    <font>
      <sz val="11"/>
      <color theme="1"/>
      <name val="Calibri"/>
      <family val="2"/>
      <scheme val="minor"/>
    </font>
    <font>
      <sz val="8"/>
      <color theme="1"/>
      <name val="Arial"/>
      <family val="2"/>
    </font>
    <font>
      <b/>
      <sz val="8"/>
      <color theme="1"/>
      <name val="Arial"/>
      <family val="2"/>
    </font>
    <font>
      <sz val="8"/>
      <color rgb="FFFF0000"/>
      <name val="Arial"/>
      <family val="2"/>
    </font>
    <font>
      <sz val="8"/>
      <color rgb="FF000000"/>
      <name val="Arial"/>
      <family val="2"/>
    </font>
    <font>
      <sz val="8"/>
      <color rgb="FF0000FF"/>
      <name val="Arial"/>
      <family val="2"/>
    </font>
    <font>
      <b/>
      <sz val="14"/>
      <color rgb="FF000000"/>
      <name val="Arial"/>
      <family val="2"/>
    </font>
    <font>
      <b/>
      <sz val="8"/>
      <color rgb="FFFFFFFF"/>
      <name val="Arial"/>
      <family val="2"/>
    </font>
    <font>
      <sz val="8"/>
      <name val="Arial"/>
      <family val="2"/>
    </font>
    <font>
      <sz val="8"/>
      <color theme="5"/>
      <name val="Arial"/>
      <family val="2"/>
    </font>
    <font>
      <i/>
      <u/>
      <sz val="8"/>
      <color theme="1"/>
      <name val="Arial"/>
      <family val="2"/>
    </font>
    <font>
      <u/>
      <sz val="8"/>
      <color theme="1"/>
      <name val="Arial"/>
      <family val="2"/>
    </font>
  </fonts>
  <fills count="3">
    <fill>
      <patternFill patternType="none"/>
    </fill>
    <fill>
      <patternFill patternType="gray125"/>
    </fill>
    <fill>
      <patternFill patternType="solid">
        <fgColor rgb="FF335593"/>
      </patternFill>
    </fill>
  </fills>
  <borders count="5">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29">
    <xf numFmtId="0" fontId="0" fillId="0" borderId="0" xfId="0"/>
    <xf numFmtId="0" fontId="1" fillId="0" borderId="0" xfId="0" applyFont="1"/>
    <xf numFmtId="0" fontId="6" fillId="0" borderId="0" xfId="0" applyFont="1"/>
    <xf numFmtId="0" fontId="1" fillId="0" borderId="1" xfId="0" applyFont="1" applyBorder="1" applyAlignment="1">
      <alignment vertical="top" wrapText="1"/>
    </xf>
    <xf numFmtId="0" fontId="2" fillId="0" borderId="0" xfId="0" applyFont="1" applyAlignment="1">
      <alignment wrapText="1"/>
    </xf>
    <xf numFmtId="0" fontId="1" fillId="0" borderId="0" xfId="0" applyFont="1" applyAlignment="1">
      <alignment wrapText="1"/>
    </xf>
    <xf numFmtId="0" fontId="4" fillId="0" borderId="0" xfId="0" applyFont="1" applyAlignment="1">
      <alignment horizontal="left"/>
    </xf>
    <xf numFmtId="0" fontId="4" fillId="0" borderId="0" xfId="0" applyFont="1" applyAlignment="1">
      <alignment horizontal="left" wrapText="1"/>
    </xf>
    <xf numFmtId="0" fontId="7" fillId="2" borderId="1" xfId="0" applyFont="1" applyFill="1" applyBorder="1" applyAlignment="1">
      <alignment vertical="top"/>
    </xf>
    <xf numFmtId="164" fontId="1" fillId="0" borderId="1" xfId="0" applyNumberFormat="1" applyFont="1" applyBorder="1" applyAlignment="1">
      <alignment horizontal="left" vertical="top"/>
    </xf>
    <xf numFmtId="0" fontId="1" fillId="0" borderId="0" xfId="0" applyFont="1" applyAlignment="1">
      <alignment vertical="top"/>
    </xf>
    <xf numFmtId="0" fontId="1" fillId="0" borderId="1" xfId="0" applyFont="1" applyBorder="1" applyAlignment="1">
      <alignment vertical="top"/>
    </xf>
    <xf numFmtId="17" fontId="1" fillId="0" borderId="1" xfId="0" applyNumberFormat="1" applyFont="1" applyBorder="1" applyAlignment="1">
      <alignment horizontal="left" vertical="center"/>
    </xf>
    <xf numFmtId="165" fontId="1" fillId="0" borderId="1" xfId="0" applyNumberFormat="1" applyFont="1" applyBorder="1" applyAlignment="1">
      <alignment horizontal="left" vertical="center"/>
    </xf>
    <xf numFmtId="15" fontId="8" fillId="0" borderId="1" xfId="0" applyNumberFormat="1" applyFont="1" applyBorder="1" applyAlignment="1">
      <alignment vertical="center" wrapText="1"/>
    </xf>
    <xf numFmtId="0" fontId="3" fillId="0" borderId="1" xfId="0" applyFont="1" applyBorder="1" applyAlignment="1">
      <alignment vertical="top"/>
    </xf>
    <xf numFmtId="0" fontId="1" fillId="0" borderId="1" xfId="0" quotePrefix="1" applyFont="1" applyBorder="1" applyAlignment="1">
      <alignment vertical="top"/>
    </xf>
    <xf numFmtId="9" fontId="5" fillId="0" borderId="1" xfId="0" applyNumberFormat="1" applyFont="1" applyBorder="1" applyAlignment="1">
      <alignment horizontal="left" vertical="top"/>
    </xf>
    <xf numFmtId="15" fontId="5" fillId="0" borderId="1" xfId="0" applyNumberFormat="1" applyFont="1" applyBorder="1" applyAlignment="1">
      <alignment vertical="center" wrapText="1"/>
    </xf>
    <xf numFmtId="15" fontId="1" fillId="0" borderId="1" xfId="0" applyNumberFormat="1" applyFont="1" applyBorder="1" applyAlignment="1">
      <alignment vertical="center" wrapText="1"/>
    </xf>
    <xf numFmtId="15" fontId="9" fillId="0" borderId="1" xfId="0" applyNumberFormat="1" applyFont="1" applyBorder="1" applyAlignment="1">
      <alignment vertical="center" wrapText="1"/>
    </xf>
    <xf numFmtId="0" fontId="1" fillId="0" borderId="1" xfId="0" applyFont="1" applyBorder="1" applyAlignment="1">
      <alignment horizontal="left" vertical="top"/>
    </xf>
    <xf numFmtId="0" fontId="1" fillId="0" borderId="0" xfId="0" quotePrefix="1" applyFont="1" applyAlignment="1">
      <alignment wrapText="1"/>
    </xf>
    <xf numFmtId="0" fontId="1" fillId="0" borderId="1" xfId="0" quotePrefix="1" applyFont="1" applyBorder="1" applyAlignment="1">
      <alignment horizontal="left" vertical="top" wrapText="1"/>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1" fillId="0" borderId="2" xfId="0" quotePrefix="1" applyFont="1" applyBorder="1" applyAlignment="1">
      <alignment horizontal="left" vertical="top" wrapText="1"/>
    </xf>
    <xf numFmtId="0" fontId="1" fillId="0" borderId="3" xfId="0" quotePrefix="1" applyFont="1" applyBorder="1" applyAlignment="1">
      <alignment horizontal="left" vertical="top" wrapText="1"/>
    </xf>
    <xf numFmtId="0" fontId="1" fillId="0" borderId="4" xfId="0" quotePrefix="1" applyFont="1" applyBorder="1" applyAlignment="1">
      <alignment horizontal="left" vertical="top" wrapText="1"/>
    </xf>
  </cellXfs>
  <cellStyles count="1">
    <cellStyle name="Normal" xfId="0" builtinId="0"/>
  </cellStyles>
  <dxfs count="21">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s>
  <tableStyles count="6" defaultTableStyle="TableStyleMedium9" defaultPivotStyle="PivotStyleLight16">
    <tableStyle name="Data-Setting-style" pivot="0" count="3" xr9:uid="{4B45045E-69E0-4519-98F5-E409C16A6FC7}">
      <tableStyleElement type="headerRow" dxfId="20"/>
      <tableStyleElement type="firstRowStripe" dxfId="19"/>
      <tableStyleElement type="secondRowStripe" dxfId="18"/>
    </tableStyle>
    <tableStyle name="Data-Setting-style 2" pivot="0" count="3" xr9:uid="{F12F8E63-734F-49D8-85F7-79F1FD57249B}">
      <tableStyleElement type="headerRow" dxfId="17"/>
      <tableStyleElement type="firstRowStripe" dxfId="16"/>
      <tableStyleElement type="secondRowStripe" dxfId="15"/>
    </tableStyle>
    <tableStyle name="Data-Setting-style 2 2" pivot="0" count="3" xr9:uid="{79E30646-064A-4E6E-8C9F-57538C0B5892}">
      <tableStyleElement type="headerRow" dxfId="14"/>
      <tableStyleElement type="firstRowStripe" dxfId="13"/>
      <tableStyleElement type="secondRowStripe" dxfId="12"/>
    </tableStyle>
    <tableStyle name="Data-Setting-style 3" pivot="0" count="3" xr9:uid="{748AF462-EF03-40A7-AD83-8E24EFF3BFE6}">
      <tableStyleElement type="headerRow" dxfId="11"/>
      <tableStyleElement type="firstRowStripe" dxfId="10"/>
      <tableStyleElement type="secondRowStripe" dxfId="9"/>
    </tableStyle>
    <tableStyle name="RAWDATA-TS-style" pivot="0" count="3" xr9:uid="{2BC226EA-1B29-412A-A5BA-A90EEF355ED0}">
      <tableStyleElement type="headerRow" dxfId="8"/>
      <tableStyleElement type="firstRowStripe" dxfId="7"/>
      <tableStyleElement type="secondRowStripe" dxfId="6"/>
    </tableStyle>
    <tableStyle name="RAWDATA-TS-style 2" pivot="0" count="3" xr9:uid="{3DB890DF-76BD-40EB-A90C-3ADC90244373}">
      <tableStyleElement type="headerRow" dxfId="5"/>
      <tableStyleElement type="firstRowStripe" dxfId="4"/>
      <tableStyleElement type="secondRowStripe" dxfId="3"/>
    </tableStyle>
  </tableStyles>
  <colors>
    <mruColors>
      <color rgb="FF0000FF"/>
      <color rgb="FFFFFFCC"/>
      <color rgb="FF0099CC"/>
      <color rgb="FF9933FF"/>
      <color rgb="FFFFFF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4735C-D672-4722-84DC-161CEB64ABD0}">
  <dimension ref="B1:G36"/>
  <sheetViews>
    <sheetView tabSelected="1" topLeftCell="A27" zoomScale="175" zoomScaleNormal="175" workbookViewId="0">
      <selection activeCell="G15" sqref="G15"/>
    </sheetView>
  </sheetViews>
  <sheetFormatPr defaultColWidth="8.7265625" defaultRowHeight="10" x14ac:dyDescent="0.2"/>
  <cols>
    <col min="1" max="1" width="1.54296875" style="1" customWidth="1"/>
    <col min="2" max="2" width="15.54296875" style="1" customWidth="1"/>
    <col min="3" max="3" width="10.54296875" style="1" customWidth="1"/>
    <col min="4" max="4" width="18.54296875" style="1" customWidth="1"/>
    <col min="5" max="6" width="15.54296875" style="1" customWidth="1"/>
    <col min="7" max="7" width="14.1796875" style="1" customWidth="1"/>
    <col min="8" max="16384" width="8.7265625" style="1"/>
  </cols>
  <sheetData>
    <row r="1" spans="2:7" ht="18" x14ac:dyDescent="0.4">
      <c r="B1" s="2" t="s">
        <v>31</v>
      </c>
      <c r="C1" s="4"/>
      <c r="D1" s="5"/>
    </row>
    <row r="2" spans="2:7" x14ac:dyDescent="0.2">
      <c r="B2" s="6"/>
      <c r="C2" s="7"/>
      <c r="D2" s="7"/>
    </row>
    <row r="3" spans="2:7" ht="10.5" x14ac:dyDescent="0.2">
      <c r="B3" s="8" t="s">
        <v>0</v>
      </c>
      <c r="C3" s="21" t="s">
        <v>32</v>
      </c>
      <c r="D3" s="21" t="s">
        <v>33</v>
      </c>
      <c r="E3" s="10"/>
    </row>
    <row r="4" spans="2:7" ht="10.5" x14ac:dyDescent="0.2">
      <c r="B4" s="8" t="s">
        <v>1</v>
      </c>
      <c r="C4" s="11" t="s">
        <v>2</v>
      </c>
      <c r="D4" s="10"/>
      <c r="E4" s="10"/>
    </row>
    <row r="5" spans="2:7" ht="10.5" x14ac:dyDescent="0.2">
      <c r="B5" s="8" t="s">
        <v>3</v>
      </c>
      <c r="C5" s="9" t="s">
        <v>4</v>
      </c>
      <c r="D5" s="15" t="s">
        <v>5</v>
      </c>
      <c r="E5" s="10"/>
    </row>
    <row r="6" spans="2:7" ht="10.5" x14ac:dyDescent="0.2">
      <c r="B6" s="8" t="s">
        <v>6</v>
      </c>
      <c r="C6" s="11" t="s">
        <v>7</v>
      </c>
      <c r="D6" s="8" t="s">
        <v>8</v>
      </c>
      <c r="E6" s="11" t="s">
        <v>9</v>
      </c>
    </row>
    <row r="7" spans="2:7" x14ac:dyDescent="0.2">
      <c r="B7" s="10"/>
      <c r="C7" s="10"/>
      <c r="D7" s="10"/>
      <c r="E7" s="10"/>
    </row>
    <row r="8" spans="2:7" ht="10.5" x14ac:dyDescent="0.2">
      <c r="B8" s="8" t="s">
        <v>10</v>
      </c>
      <c r="C8" s="8"/>
      <c r="D8" s="8"/>
      <c r="E8" s="8"/>
      <c r="F8" s="8"/>
    </row>
    <row r="9" spans="2:7" ht="49" customHeight="1" x14ac:dyDescent="0.2">
      <c r="B9" s="16" t="s">
        <v>11</v>
      </c>
      <c r="C9" s="17" t="s">
        <v>34</v>
      </c>
      <c r="D9" s="24" t="s">
        <v>35</v>
      </c>
      <c r="E9" s="25"/>
      <c r="F9" s="25"/>
      <c r="G9" s="22"/>
    </row>
    <row r="10" spans="2:7" x14ac:dyDescent="0.2">
      <c r="B10" s="11"/>
      <c r="C10" s="11"/>
      <c r="D10" s="10"/>
      <c r="E10" s="10"/>
      <c r="F10" s="10"/>
    </row>
    <row r="11" spans="2:7" ht="10.5" x14ac:dyDescent="0.2">
      <c r="B11" s="8" t="s">
        <v>12</v>
      </c>
      <c r="C11" s="8"/>
      <c r="D11" s="8"/>
      <c r="E11" s="8"/>
      <c r="F11" s="8"/>
    </row>
    <row r="12" spans="2:7" ht="156.5" customHeight="1" x14ac:dyDescent="0.2">
      <c r="B12" s="11" t="s">
        <v>13</v>
      </c>
      <c r="C12" s="26" t="s">
        <v>39</v>
      </c>
      <c r="D12" s="27"/>
      <c r="E12" s="27"/>
      <c r="F12" s="28"/>
    </row>
    <row r="13" spans="2:7" ht="80.5" customHeight="1" x14ac:dyDescent="0.2">
      <c r="B13" s="11" t="s">
        <v>14</v>
      </c>
      <c r="C13" s="26" t="s">
        <v>38</v>
      </c>
      <c r="D13" s="27"/>
      <c r="E13" s="27"/>
      <c r="F13" s="28"/>
    </row>
    <row r="14" spans="2:7" ht="44.5" customHeight="1" x14ac:dyDescent="0.2">
      <c r="B14" s="11"/>
      <c r="C14" s="26" t="s">
        <v>40</v>
      </c>
      <c r="D14" s="27"/>
      <c r="E14" s="27"/>
      <c r="F14" s="28"/>
    </row>
    <row r="15" spans="2:7" ht="48.5" customHeight="1" x14ac:dyDescent="0.2">
      <c r="B15" s="3" t="s">
        <v>15</v>
      </c>
      <c r="C15" s="26" t="s">
        <v>37</v>
      </c>
      <c r="D15" s="27"/>
      <c r="E15" s="27"/>
      <c r="F15" s="28"/>
    </row>
    <row r="16" spans="2:7" x14ac:dyDescent="0.2">
      <c r="B16" s="10"/>
      <c r="C16" s="10"/>
      <c r="D16" s="10"/>
      <c r="E16" s="10"/>
    </row>
    <row r="17" spans="2:6" ht="10.5" x14ac:dyDescent="0.2">
      <c r="B17" s="8" t="s">
        <v>16</v>
      </c>
      <c r="C17" s="8" t="s">
        <v>0</v>
      </c>
      <c r="D17" s="8" t="s">
        <v>17</v>
      </c>
      <c r="E17" s="8" t="s">
        <v>18</v>
      </c>
      <c r="F17" s="8" t="s">
        <v>19</v>
      </c>
    </row>
    <row r="18" spans="2:6" x14ac:dyDescent="0.2">
      <c r="B18" s="12" t="s">
        <v>20</v>
      </c>
      <c r="C18" s="12" t="str">
        <f>YEAR(D18)&amp;"-"&amp;"W"&amp;TEXT(WEEKNUM(D18,21),"0#")</f>
        <v>2025-W46</v>
      </c>
      <c r="D18" s="13">
        <v>45971</v>
      </c>
      <c r="E18" s="13">
        <f xml:space="preserve"> D18+(6-WEEKDAY(D18,3))</f>
        <v>45977</v>
      </c>
      <c r="F18" s="19" t="s">
        <v>21</v>
      </c>
    </row>
    <row r="19" spans="2:6" x14ac:dyDescent="0.2">
      <c r="B19" s="12"/>
      <c r="C19" s="12" t="str">
        <f>YEAR(D19)&amp;"-"&amp;"W"&amp;TEXT(WEEKNUM(D19,21),"0#")</f>
        <v>2025-W47</v>
      </c>
      <c r="D19" s="13">
        <f>D18+( 7-WEEKDAY(D18,3))</f>
        <v>45978</v>
      </c>
      <c r="E19" s="13">
        <f xml:space="preserve"> D19+(6-WEEKDAY(D19,3))</f>
        <v>45984</v>
      </c>
      <c r="F19" s="19" t="s">
        <v>21</v>
      </c>
    </row>
    <row r="20" spans="2:6" x14ac:dyDescent="0.2">
      <c r="B20" s="12" t="s">
        <v>22</v>
      </c>
      <c r="C20" s="12" t="str">
        <f t="shared" ref="C20:C30" si="0">YEAR(D20)&amp;"-"&amp;"W"&amp;TEXT(WEEKNUM(D20,21),"0#")</f>
        <v>2025-W48</v>
      </c>
      <c r="D20" s="13">
        <f t="shared" ref="D20:D30" si="1">D19+( 7-WEEKDAY(D19,3))</f>
        <v>45985</v>
      </c>
      <c r="E20" s="13">
        <f t="shared" ref="E20:E30" si="2" xml:space="preserve"> D20+(6-WEEKDAY(D20,3))</f>
        <v>45991</v>
      </c>
      <c r="F20" s="19" t="s">
        <v>21</v>
      </c>
    </row>
    <row r="21" spans="2:6" x14ac:dyDescent="0.2">
      <c r="B21" s="12"/>
      <c r="C21" s="12" t="str">
        <f t="shared" si="0"/>
        <v>2025-W49</v>
      </c>
      <c r="D21" s="13">
        <f t="shared" si="1"/>
        <v>45992</v>
      </c>
      <c r="E21" s="13">
        <f t="shared" si="2"/>
        <v>45998</v>
      </c>
      <c r="F21" s="19" t="s">
        <v>21</v>
      </c>
    </row>
    <row r="22" spans="2:6" x14ac:dyDescent="0.2">
      <c r="B22" s="12"/>
      <c r="C22" s="12" t="str">
        <f t="shared" si="0"/>
        <v>2025-W50</v>
      </c>
      <c r="D22" s="13">
        <f t="shared" si="1"/>
        <v>45999</v>
      </c>
      <c r="E22" s="13">
        <f t="shared" si="2"/>
        <v>46005</v>
      </c>
      <c r="F22" s="19" t="s">
        <v>21</v>
      </c>
    </row>
    <row r="23" spans="2:6" x14ac:dyDescent="0.2">
      <c r="B23" s="12"/>
      <c r="C23" s="12" t="str">
        <f t="shared" si="0"/>
        <v>2025-W51</v>
      </c>
      <c r="D23" s="13">
        <f t="shared" si="1"/>
        <v>46006</v>
      </c>
      <c r="E23" s="13">
        <f t="shared" si="2"/>
        <v>46012</v>
      </c>
      <c r="F23" s="19" t="s">
        <v>21</v>
      </c>
    </row>
    <row r="24" spans="2:6" x14ac:dyDescent="0.2">
      <c r="B24" s="12"/>
      <c r="C24" s="12" t="str">
        <f t="shared" si="0"/>
        <v>2025-W52</v>
      </c>
      <c r="D24" s="13">
        <f t="shared" si="1"/>
        <v>46013</v>
      </c>
      <c r="E24" s="13">
        <f t="shared" si="2"/>
        <v>46019</v>
      </c>
      <c r="F24" s="19" t="s">
        <v>21</v>
      </c>
    </row>
    <row r="25" spans="2:6" x14ac:dyDescent="0.2">
      <c r="B25" s="12"/>
      <c r="C25" s="12" t="str">
        <f t="shared" si="0"/>
        <v>2025-W01</v>
      </c>
      <c r="D25" s="13">
        <f t="shared" si="1"/>
        <v>46020</v>
      </c>
      <c r="E25" s="13">
        <f t="shared" si="2"/>
        <v>46026</v>
      </c>
      <c r="F25" s="19" t="s">
        <v>21</v>
      </c>
    </row>
    <row r="26" spans="2:6" x14ac:dyDescent="0.2">
      <c r="B26" s="12"/>
      <c r="C26" s="12" t="str">
        <f t="shared" si="0"/>
        <v>2026-W02</v>
      </c>
      <c r="D26" s="13">
        <f t="shared" si="1"/>
        <v>46027</v>
      </c>
      <c r="E26" s="13">
        <f t="shared" si="2"/>
        <v>46033</v>
      </c>
      <c r="F26" s="19" t="s">
        <v>21</v>
      </c>
    </row>
    <row r="27" spans="2:6" x14ac:dyDescent="0.2">
      <c r="B27" s="12"/>
      <c r="C27" s="12" t="str">
        <f t="shared" si="0"/>
        <v>2026-W03</v>
      </c>
      <c r="D27" s="13">
        <f t="shared" si="1"/>
        <v>46034</v>
      </c>
      <c r="E27" s="13">
        <f t="shared" si="2"/>
        <v>46040</v>
      </c>
      <c r="F27" s="19" t="s">
        <v>21</v>
      </c>
    </row>
    <row r="28" spans="2:6" x14ac:dyDescent="0.2">
      <c r="B28" s="12"/>
      <c r="C28" s="12" t="str">
        <f t="shared" si="0"/>
        <v>2026-W04</v>
      </c>
      <c r="D28" s="13">
        <f t="shared" si="1"/>
        <v>46041</v>
      </c>
      <c r="E28" s="13">
        <f t="shared" si="2"/>
        <v>46047</v>
      </c>
      <c r="F28" s="18" t="s">
        <v>23</v>
      </c>
    </row>
    <row r="29" spans="2:6" x14ac:dyDescent="0.2">
      <c r="B29" s="12" t="s">
        <v>28</v>
      </c>
      <c r="C29" s="12" t="str">
        <f t="shared" si="0"/>
        <v>2026-W05</v>
      </c>
      <c r="D29" s="13">
        <f t="shared" si="1"/>
        <v>46048</v>
      </c>
      <c r="E29" s="13">
        <f t="shared" si="2"/>
        <v>46054</v>
      </c>
      <c r="F29" s="20" t="s">
        <v>24</v>
      </c>
    </row>
    <row r="30" spans="2:6" x14ac:dyDescent="0.2">
      <c r="B30" s="12" t="s">
        <v>29</v>
      </c>
      <c r="C30" s="12" t="str">
        <f t="shared" si="0"/>
        <v>2026-W06</v>
      </c>
      <c r="D30" s="13">
        <f t="shared" si="1"/>
        <v>46055</v>
      </c>
      <c r="E30" s="13">
        <f t="shared" si="2"/>
        <v>46061</v>
      </c>
      <c r="F30" s="14" t="s">
        <v>24</v>
      </c>
    </row>
    <row r="32" spans="2:6" ht="10.5" x14ac:dyDescent="0.2">
      <c r="B32" s="8" t="s">
        <v>25</v>
      </c>
      <c r="C32" s="8"/>
      <c r="D32" s="8"/>
      <c r="E32" s="8"/>
      <c r="F32" s="8"/>
    </row>
    <row r="33" spans="2:6" ht="55" customHeight="1" x14ac:dyDescent="0.2">
      <c r="B33" s="3" t="s">
        <v>26</v>
      </c>
      <c r="C33" s="23" t="s">
        <v>30</v>
      </c>
      <c r="D33" s="23"/>
      <c r="E33" s="23"/>
      <c r="F33" s="23"/>
    </row>
    <row r="35" spans="2:6" ht="10.5" x14ac:dyDescent="0.2">
      <c r="B35" s="8" t="s">
        <v>27</v>
      </c>
      <c r="C35" s="8"/>
      <c r="D35" s="8"/>
      <c r="E35" s="8"/>
      <c r="F35" s="8"/>
    </row>
    <row r="36" spans="2:6" ht="29.5" customHeight="1" x14ac:dyDescent="0.2">
      <c r="B36" s="3" t="s">
        <v>36</v>
      </c>
      <c r="C36" s="23" t="s">
        <v>41</v>
      </c>
      <c r="D36" s="23"/>
      <c r="E36" s="23"/>
      <c r="F36" s="23"/>
    </row>
  </sheetData>
  <mergeCells count="7">
    <mergeCell ref="C36:F36"/>
    <mergeCell ref="D9:F9"/>
    <mergeCell ref="C12:F12"/>
    <mergeCell ref="C13:F13"/>
    <mergeCell ref="C15:F15"/>
    <mergeCell ref="C33:F33"/>
    <mergeCell ref="C14:F14"/>
  </mergeCells>
  <conditionalFormatting sqref="C23:D29">
    <cfRule type="containsText" dxfId="2" priority="1" operator="containsText" text="CRITICAL">
      <formula>NOT(ISERROR(SEARCH("CRITICAL",C23)))</formula>
    </cfRule>
    <cfRule type="containsText" dxfId="1" priority="2" operator="containsText" text="WARNING">
      <formula>NOT(ISERROR(SEARCH("WARNING",C23)))</formula>
    </cfRule>
    <cfRule type="containsText" dxfId="0" priority="3" operator="containsText" text="OK">
      <formula>NOT(ISERROR(SEARCH("OK",C23)))</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W11-23.Jan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Tony Nguyen</cp:lastModifiedBy>
  <cp:revision/>
  <dcterms:created xsi:type="dcterms:W3CDTF">2023-06-12T15:04:10Z</dcterms:created>
  <dcterms:modified xsi:type="dcterms:W3CDTF">2026-01-23T10:29:28Z</dcterms:modified>
  <cp:category/>
  <cp:contentStatus/>
</cp:coreProperties>
</file>